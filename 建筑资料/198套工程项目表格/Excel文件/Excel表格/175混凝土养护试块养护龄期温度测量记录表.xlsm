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095" windowHeight="12600"/>
  </bookViews>
  <sheets>
    <sheet name="目录" sheetId="4" r:id="rId1"/>
    <sheet name="温度记录" sheetId="3" r:id="rId2"/>
    <sheet name="基础底板" sheetId="1" r:id="rId3"/>
    <sheet name="部位1" sheetId="5" r:id="rId4"/>
  </sheets>
  <definedNames>
    <definedName name="_xlnm._FilterDatabase" localSheetId="1" hidden="1">温度记录!$A$1:$G$236</definedName>
    <definedName name="ml">INDEX(GET.WORKBOOK(1),ROW(目录!$B1))&amp;T(NOW())</definedName>
    <definedName name="_xlnm.Print_Area" localSheetId="2">基础底板!$A$1:$I$42</definedName>
    <definedName name="_xlnm.Print_Area" localSheetId="3">部位1!$A$1:$I$42</definedName>
  </definedNames>
  <calcPr calcId="144525"/>
</workbook>
</file>

<file path=xl/sharedStrings.xml><?xml version="1.0" encoding="utf-8"?>
<sst xmlns="http://schemas.openxmlformats.org/spreadsheetml/2006/main" count="184">
  <si>
    <t>序号</t>
  </si>
  <si>
    <t>至首行</t>
  </si>
  <si>
    <t>注：使用时请开启宏，用于目录自动添加及跳转，如不开启宏，目录跳转无法使用，不影响其他计算</t>
  </si>
  <si>
    <t>打开文件时需开启宏，如电脑未安装宏，请点击下载，下载链接：https://pan.baidu.com/s/1y1lFWwOxUsYluSYEGrKyfg 提取码：fofs</t>
  </si>
  <si>
    <t>日期</t>
  </si>
  <si>
    <t>最低温</t>
  </si>
  <si>
    <t>最高温</t>
  </si>
  <si>
    <t>天气</t>
  </si>
  <si>
    <t>风力风向</t>
  </si>
  <si>
    <t>空气质量指数</t>
  </si>
  <si>
    <t>平均气温</t>
  </si>
  <si>
    <t>返回目录</t>
  </si>
  <si>
    <t>工程名称：</t>
  </si>
  <si>
    <t>XX工程</t>
  </si>
  <si>
    <t>阴</t>
  </si>
  <si>
    <t>东北风3级</t>
  </si>
  <si>
    <t>64 良</t>
  </si>
  <si>
    <t>阴~晴</t>
  </si>
  <si>
    <t>西南风2级</t>
  </si>
  <si>
    <t>67 良</t>
  </si>
  <si>
    <t>晴</t>
  </si>
  <si>
    <t>75 良</t>
  </si>
  <si>
    <t>93 良</t>
  </si>
  <si>
    <t>多云~晴</t>
  </si>
  <si>
    <t>85 良</t>
  </si>
  <si>
    <t>多云~阴</t>
  </si>
  <si>
    <t>西南风3级</t>
  </si>
  <si>
    <t>72 良</t>
  </si>
  <si>
    <t>晴~小雨</t>
  </si>
  <si>
    <t>东南风3级</t>
  </si>
  <si>
    <t>81 良</t>
  </si>
  <si>
    <t>阴~小雨</t>
  </si>
  <si>
    <t>东南风2级</t>
  </si>
  <si>
    <t>大雨~阴</t>
  </si>
  <si>
    <t>43 优</t>
  </si>
  <si>
    <t>东北风2级</t>
  </si>
  <si>
    <t>53 良</t>
  </si>
  <si>
    <t>西北风2级</t>
  </si>
  <si>
    <t>65 良</t>
  </si>
  <si>
    <t>71 良</t>
  </si>
  <si>
    <t>70 良</t>
  </si>
  <si>
    <t>晴~中雨</t>
  </si>
  <si>
    <t>69 良</t>
  </si>
  <si>
    <t>小雨~晴</t>
  </si>
  <si>
    <t>82 良</t>
  </si>
  <si>
    <t>晴~多云</t>
  </si>
  <si>
    <t>西北风3级</t>
  </si>
  <si>
    <t>多云~小雨</t>
  </si>
  <si>
    <t>98 良</t>
  </si>
  <si>
    <t>小雨~多云</t>
  </si>
  <si>
    <t>91 良</t>
  </si>
  <si>
    <t>61 良</t>
  </si>
  <si>
    <t>48 优</t>
  </si>
  <si>
    <t>55 良</t>
  </si>
  <si>
    <t>46 优</t>
  </si>
  <si>
    <t>西南风4级</t>
  </si>
  <si>
    <t>73 良</t>
  </si>
  <si>
    <t>多云</t>
  </si>
  <si>
    <t>57 良</t>
  </si>
  <si>
    <t>68 良</t>
  </si>
  <si>
    <t>南风4级</t>
  </si>
  <si>
    <t>86 良</t>
  </si>
  <si>
    <t>南风3级</t>
  </si>
  <si>
    <t>107 轻度</t>
  </si>
  <si>
    <t>99 良</t>
  </si>
  <si>
    <t>92 良</t>
  </si>
  <si>
    <t>晴~雷阵雨</t>
  </si>
  <si>
    <t>东风3级</t>
  </si>
  <si>
    <t>117 轻度</t>
  </si>
  <si>
    <t>东北风4级</t>
  </si>
  <si>
    <t>103 轻度</t>
  </si>
  <si>
    <t>41 优</t>
  </si>
  <si>
    <t>阴~大雨</t>
  </si>
  <si>
    <t>小雨</t>
  </si>
  <si>
    <t>37 优</t>
  </si>
  <si>
    <t>40 优</t>
  </si>
  <si>
    <t>西风2级</t>
  </si>
  <si>
    <t>北风3级</t>
  </si>
  <si>
    <t>62 良</t>
  </si>
  <si>
    <t>102 轻度</t>
  </si>
  <si>
    <t>阴~多云</t>
  </si>
  <si>
    <t>84 良</t>
  </si>
  <si>
    <t>假设温度，自行修改</t>
  </si>
  <si>
    <t>阴~雷阵雨</t>
  </si>
  <si>
    <t>104 轻度</t>
  </si>
  <si>
    <t>119 轻度</t>
  </si>
  <si>
    <t>西北风4级</t>
  </si>
  <si>
    <t>96 良</t>
  </si>
  <si>
    <t>54 良</t>
  </si>
  <si>
    <t>79 良</t>
  </si>
  <si>
    <t>111 轻度</t>
  </si>
  <si>
    <t>西风3级</t>
  </si>
  <si>
    <t>南风2级</t>
  </si>
  <si>
    <t>58 良</t>
  </si>
  <si>
    <t>74 良</t>
  </si>
  <si>
    <t>东南风4级</t>
  </si>
  <si>
    <t>122 轻度</t>
  </si>
  <si>
    <t>106 轻度</t>
  </si>
  <si>
    <t>95 良</t>
  </si>
  <si>
    <t>113 轻度</t>
  </si>
  <si>
    <t>94 良</t>
  </si>
  <si>
    <t>60 良</t>
  </si>
  <si>
    <t>66 良</t>
  </si>
  <si>
    <t>东风1级</t>
  </si>
  <si>
    <t>38 优</t>
  </si>
  <si>
    <t>76 良</t>
  </si>
  <si>
    <t>36 优</t>
  </si>
  <si>
    <t>30 优</t>
  </si>
  <si>
    <t>63 良</t>
  </si>
  <si>
    <t>中雨~雷阵雨</t>
  </si>
  <si>
    <t>50 优</t>
  </si>
  <si>
    <t>小雨~中雨</t>
  </si>
  <si>
    <t>59 良</t>
  </si>
  <si>
    <t>东风2级</t>
  </si>
  <si>
    <t>小雨~雷阵雨</t>
  </si>
  <si>
    <t>小雨~阴</t>
  </si>
  <si>
    <t>32 优</t>
  </si>
  <si>
    <t>大雨~多云</t>
  </si>
  <si>
    <t>56 良</t>
  </si>
  <si>
    <t>80 良</t>
  </si>
  <si>
    <t>西南风1级</t>
  </si>
  <si>
    <t>100 良</t>
  </si>
  <si>
    <t>南风1级</t>
  </si>
  <si>
    <t>78 良</t>
  </si>
  <si>
    <t>29 优</t>
  </si>
  <si>
    <t>西风1级</t>
  </si>
  <si>
    <t>47 优</t>
  </si>
  <si>
    <t>东南风1级</t>
  </si>
  <si>
    <t>90 良</t>
  </si>
  <si>
    <t>112 轻度</t>
  </si>
  <si>
    <t>39 优</t>
  </si>
  <si>
    <t>多云~大雨</t>
  </si>
  <si>
    <t>49 优</t>
  </si>
  <si>
    <t>34 优</t>
  </si>
  <si>
    <t>44 优</t>
  </si>
  <si>
    <t>小雨~暴雨</t>
  </si>
  <si>
    <t>33 优</t>
  </si>
  <si>
    <t>中雨~小雨</t>
  </si>
  <si>
    <t>22 优</t>
  </si>
  <si>
    <t>51 良</t>
  </si>
  <si>
    <t>多云~雷阵雨</t>
  </si>
  <si>
    <t>大暴雨~多云</t>
  </si>
  <si>
    <t>多云~中雨</t>
  </si>
  <si>
    <t>东北风1级</t>
  </si>
  <si>
    <t>77 良</t>
  </si>
  <si>
    <t>52 良</t>
  </si>
  <si>
    <t>中雨~阴</t>
  </si>
  <si>
    <t>19 优</t>
  </si>
  <si>
    <t>暴雨~阴</t>
  </si>
  <si>
    <t>45 优</t>
  </si>
  <si>
    <t>北风2级</t>
  </si>
  <si>
    <t>83 良</t>
  </si>
  <si>
    <t>123 轻度</t>
  </si>
  <si>
    <t>105 轻度</t>
  </si>
  <si>
    <t>101 轻度</t>
  </si>
  <si>
    <t>148 轻度</t>
  </si>
  <si>
    <t>北风1级</t>
  </si>
  <si>
    <t>测试温度，自行修改</t>
  </si>
  <si>
    <t>134 轻度</t>
  </si>
  <si>
    <t>138 轻度</t>
  </si>
  <si>
    <t>124 轻度</t>
  </si>
  <si>
    <t>小雨~大雨</t>
  </si>
  <si>
    <t>晴~阴</t>
  </si>
  <si>
    <t>小雨~雨夹雪</t>
  </si>
  <si>
    <t>混凝土同条件养护试块实际养护龄期和相应的温度测量记录</t>
  </si>
  <si>
    <t>施工部位：</t>
  </si>
  <si>
    <t>混凝土试块强度等级：</t>
  </si>
  <si>
    <t>C30</t>
  </si>
  <si>
    <t>大气温度</t>
  </si>
  <si>
    <t>平均温度℃</t>
  </si>
  <si>
    <t>有效温度判定</t>
  </si>
  <si>
    <t>累计℃.d</t>
  </si>
  <si>
    <t>有效天数累计</t>
  </si>
  <si>
    <t>月</t>
  </si>
  <si>
    <t>日</t>
  </si>
  <si>
    <t>最低温度℃</t>
  </si>
  <si>
    <t>最高温度℃</t>
  </si>
  <si>
    <t>结论：有效累计温度达到600℃.d的累计测温天数为</t>
  </si>
  <si>
    <t>其中有效测温天</t>
  </si>
  <si>
    <t>数为</t>
  </si>
  <si>
    <t>，有效测温天数在14-60d之间，符合GB50204-2015《混凝土结构工程施工质量验</t>
  </si>
  <si>
    <t>收规范》的规定，本组试块可以送实验室试压并作为结构实体检验依据。</t>
  </si>
  <si>
    <t>记录人</t>
  </si>
  <si>
    <t>技术负责人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</si>
</sst>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General&quot;天&quot;&quot;，&quot;"/>
    <numFmt numFmtId="177" formatCode="General&quot;年&quot;"/>
    <numFmt numFmtId="178" formatCode="0_ "/>
    <numFmt numFmtId="179" formatCode="General&quot;天&quot;"/>
  </numFmts>
  <fonts count="36">
    <font>
      <sz val="12"/>
      <name val="宋体"/>
      <charset val="134"/>
    </font>
    <font>
      <sz val="11"/>
      <name val="宋体"/>
      <charset val="134"/>
    </font>
    <font>
      <sz val="14"/>
      <name val="宋体"/>
      <charset val="134"/>
    </font>
    <font>
      <sz val="11"/>
      <color theme="1"/>
      <name val="宋体"/>
      <charset val="134"/>
      <scheme val="major"/>
    </font>
    <font>
      <sz val="11"/>
      <color theme="1"/>
      <name val="宋体"/>
      <charset val="134"/>
    </font>
    <font>
      <sz val="11"/>
      <color rgb="FFFF0000"/>
      <name val="宋体"/>
      <charset val="134"/>
    </font>
    <font>
      <b/>
      <sz val="11"/>
      <color rgb="FF800080"/>
      <name val="宋体"/>
      <charset val="134"/>
      <scheme val="minor"/>
    </font>
    <font>
      <sz val="11"/>
      <name val="微软雅黑"/>
      <charset val="134"/>
    </font>
    <font>
      <sz val="11"/>
      <color theme="9" tint="-0.5"/>
      <name val="微软雅黑"/>
      <charset val="134"/>
    </font>
    <font>
      <b/>
      <sz val="14"/>
      <color theme="9" tint="0.8"/>
      <name val="宋体"/>
      <charset val="134"/>
      <scheme val="minor"/>
    </font>
    <font>
      <sz val="11"/>
      <color theme="1"/>
      <name val="微软雅黑"/>
      <charset val="134"/>
    </font>
    <font>
      <b/>
      <sz val="14"/>
      <color theme="0"/>
      <name val="宋体"/>
      <charset val="134"/>
      <scheme val="minor"/>
    </font>
    <font>
      <b/>
      <sz val="12"/>
      <name val="宋体"/>
      <charset val="134"/>
    </font>
    <font>
      <b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2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12"/>
      <color rgb="FF80008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5" tint="-0.25"/>
      </left>
      <right style="thin">
        <color theme="5" tint="-0.25"/>
      </right>
      <top style="thin">
        <color theme="5" tint="-0.25"/>
      </top>
      <bottom style="thin">
        <color theme="5" tint="-0.25"/>
      </bottom>
      <diagonal/>
    </border>
    <border>
      <left style="thin">
        <color theme="9" tint="-0.25"/>
      </left>
      <right style="thin">
        <color theme="9" tint="-0.25"/>
      </right>
      <top style="thin">
        <color theme="9" tint="-0.25"/>
      </top>
      <bottom style="thin">
        <color theme="9" tint="-0.2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</borders>
  <cellStyleXfs count="52">
    <xf numFmtId="0" fontId="0" fillId="0" borderId="0">
      <alignment vertical="center"/>
    </xf>
    <xf numFmtId="42" fontId="18" fillId="0" borderId="0" applyFont="0" applyFill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3" fillId="14" borderId="15" applyNumberFormat="0" applyAlignment="0" applyProtection="0">
      <alignment vertical="center"/>
    </xf>
    <xf numFmtId="44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43" fontId="18" fillId="0" borderId="0" applyFont="0" applyFill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7" borderId="14" applyNumberFormat="0" applyFont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34" fillId="0" borderId="2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0" fillId="0" borderId="22" applyNumberFormat="0" applyFill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21" borderId="16" applyNumberFormat="0" applyAlignment="0" applyProtection="0">
      <alignment vertical="center"/>
    </xf>
    <xf numFmtId="0" fontId="27" fillId="21" borderId="15" applyNumberFormat="0" applyAlignment="0" applyProtection="0">
      <alignment vertical="center"/>
    </xf>
    <xf numFmtId="0" fontId="29" fillId="24" borderId="17" applyNumberFormat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33" fillId="0" borderId="20" applyNumberFormat="0" applyFill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0" fillId="0" borderId="0">
      <alignment vertical="center"/>
    </xf>
    <xf numFmtId="0" fontId="19" fillId="8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NumberFormat="1" applyFont="1">
      <alignment vertical="center"/>
    </xf>
    <xf numFmtId="178" fontId="1" fillId="0" borderId="0" xfId="0" applyNumberFormat="1" applyFont="1">
      <alignment vertical="center"/>
    </xf>
    <xf numFmtId="0" fontId="2" fillId="0" borderId="0" xfId="0" applyFont="1" applyFill="1" applyBorder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>
      <alignment vertical="center" wrapText="1"/>
    </xf>
    <xf numFmtId="178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>
      <alignment horizontal="left" vertical="center" wrapText="1"/>
    </xf>
    <xf numFmtId="178" fontId="1" fillId="0" borderId="1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>
      <alignment horizontal="center" vertical="center" wrapText="1"/>
    </xf>
    <xf numFmtId="178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8" fontId="1" fillId="0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76" fontId="5" fillId="0" borderId="4" xfId="0" applyNumberFormat="1" applyFont="1" applyFill="1" applyBorder="1" applyAlignment="1">
      <alignment horizontal="center" vertical="center"/>
    </xf>
    <xf numFmtId="178" fontId="1" fillId="0" borderId="4" xfId="0" applyNumberFormat="1" applyFont="1" applyFill="1" applyBorder="1" applyAlignment="1">
      <alignment vertical="center"/>
    </xf>
    <xf numFmtId="0" fontId="1" fillId="0" borderId="5" xfId="0" applyFont="1" applyFill="1" applyBorder="1" applyAlignment="1">
      <alignment vertical="center"/>
    </xf>
    <xf numFmtId="179" fontId="5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1" fillId="0" borderId="6" xfId="0" applyFont="1" applyFill="1" applyBorder="1" applyAlignment="1">
      <alignment horizontal="left" vertical="center"/>
    </xf>
    <xf numFmtId="0" fontId="1" fillId="0" borderId="7" xfId="0" applyFont="1" applyFill="1" applyBorder="1" applyAlignment="1">
      <alignment horizontal="left" vertical="center"/>
    </xf>
    <xf numFmtId="0" fontId="1" fillId="0" borderId="8" xfId="0" applyFont="1" applyFill="1" applyBorder="1" applyAlignment="1">
      <alignment horizontal="center" vertical="center"/>
    </xf>
    <xf numFmtId="178" fontId="1" fillId="0" borderId="8" xfId="0" applyNumberFormat="1" applyFont="1" applyFill="1" applyBorder="1" applyAlignment="1">
      <alignment horizontal="center" vertical="center"/>
    </xf>
    <xf numFmtId="0" fontId="6" fillId="2" borderId="0" xfId="10" applyFont="1" applyFill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left" vertical="center" wrapText="1"/>
      <protection locked="0"/>
    </xf>
    <xf numFmtId="0" fontId="1" fillId="0" borderId="9" xfId="0" applyFont="1" applyFill="1" applyBorder="1" applyAlignment="1">
      <alignment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2" xfId="0" applyFont="1" applyFill="1" applyBorder="1" applyAlignment="1" applyProtection="1">
      <alignment horizontal="center" vertical="center"/>
      <protection locked="0"/>
    </xf>
    <xf numFmtId="14" fontId="7" fillId="0" borderId="12" xfId="0" applyNumberFormat="1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8" fillId="2" borderId="12" xfId="0" applyNumberFormat="1" applyFont="1" applyFill="1" applyBorder="1" applyAlignment="1">
      <alignment horizontal="center" vertical="center" wrapText="1"/>
    </xf>
    <xf numFmtId="0" fontId="8" fillId="2" borderId="12" xfId="0" applyNumberFormat="1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/>
    </xf>
    <xf numFmtId="0" fontId="9" fillId="3" borderId="0" xfId="10" applyFont="1" applyFill="1" applyAlignment="1">
      <alignment horizontal="center" vertical="center"/>
    </xf>
    <xf numFmtId="14" fontId="10" fillId="4" borderId="12" xfId="0" applyNumberFormat="1" applyFont="1" applyFill="1" applyBorder="1" applyAlignment="1">
      <alignment horizontal="center" vertical="center" wrapText="1"/>
    </xf>
    <xf numFmtId="0" fontId="10" fillId="4" borderId="12" xfId="0" applyNumberFormat="1" applyFont="1" applyFill="1" applyBorder="1" applyAlignment="1">
      <alignment horizontal="center" vertical="center" wrapText="1"/>
    </xf>
    <xf numFmtId="0" fontId="10" fillId="4" borderId="1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11" fillId="5" borderId="0" xfId="1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4" fontId="10" fillId="6" borderId="12" xfId="0" applyNumberFormat="1" applyFont="1" applyFill="1" applyBorder="1" applyAlignment="1">
      <alignment horizontal="center" vertical="center" wrapText="1"/>
    </xf>
    <xf numFmtId="0" fontId="10" fillId="6" borderId="12" xfId="0" applyFont="1" applyFill="1" applyBorder="1" applyAlignment="1">
      <alignment horizontal="center" vertical="center" wrapText="1"/>
    </xf>
    <xf numFmtId="0" fontId="10" fillId="6" borderId="12" xfId="0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13" xfId="10" applyFont="1" applyFill="1" applyBorder="1" applyAlignment="1">
      <alignment horizontal="center" vertical="center"/>
    </xf>
    <xf numFmtId="0" fontId="0" fillId="2" borderId="13" xfId="0" applyFill="1" applyBorder="1">
      <alignment vertical="center"/>
    </xf>
    <xf numFmtId="0" fontId="14" fillId="0" borderId="0" xfId="10" applyFont="1" applyAlignment="1">
      <alignment horizontal="center" vertical="center"/>
    </xf>
    <xf numFmtId="0" fontId="15" fillId="0" borderId="0" xfId="0" applyFont="1">
      <alignment vertical="center"/>
    </xf>
    <xf numFmtId="0" fontId="14" fillId="0" borderId="13" xfId="10" applyFont="1" applyBorder="1" applyAlignment="1">
      <alignment horizontal="center" vertical="center"/>
    </xf>
    <xf numFmtId="0" fontId="16" fillId="0" borderId="13" xfId="10" applyBorder="1">
      <alignment vertical="center"/>
    </xf>
    <xf numFmtId="0" fontId="16" fillId="0" borderId="0" xfId="10">
      <alignment vertical="center"/>
    </xf>
    <xf numFmtId="0" fontId="17" fillId="0" borderId="0" xfId="10" applyFont="1" applyBorder="1" applyAlignment="1">
      <alignment horizontal="center" vertical="center" wrapText="1"/>
    </xf>
    <xf numFmtId="0" fontId="16" fillId="0" borderId="13" xfId="10" applyBorder="1" applyAlignment="1">
      <alignment horizontal="center" vertical="center"/>
    </xf>
    <xf numFmtId="0" fontId="17" fillId="0" borderId="0" xfId="10" applyFont="1" applyAlignment="1">
      <alignment horizontal="center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</cellStyles>
  <tableStyles count="0" defaultTableStyle="TableStyleMedium2" defaultPivotStyle="PivotStyleLight16"/>
  <colors>
    <mruColors>
      <color rgb="00FAFAFA"/>
      <color rgb="00FFFFFF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an.baidu.com/s/1y1lFWwOxUsYluSYEGrKyf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97"/>
  <sheetViews>
    <sheetView tabSelected="1" workbookViewId="0">
      <pane xSplit="4" ySplit="1" topLeftCell="E2" activePane="bottomRight" state="frozen"/>
      <selection/>
      <selection pane="topRight"/>
      <selection pane="bottomLeft"/>
      <selection pane="bottomRight" activeCell="E5" sqref="E5"/>
    </sheetView>
  </sheetViews>
  <sheetFormatPr defaultColWidth="11.8" defaultRowHeight="19" customHeight="1"/>
  <cols>
    <col min="1" max="1" width="7.2" style="59" customWidth="1"/>
    <col min="2" max="2" width="11.8" style="59" customWidth="1"/>
    <col min="3" max="3" width="11.8" style="60" customWidth="1"/>
    <col min="4" max="16383" width="11.8" customWidth="1"/>
  </cols>
  <sheetData>
    <row r="1" ht="27" customHeight="1" spans="1:6">
      <c r="A1" s="61" t="s">
        <v>0</v>
      </c>
      <c r="B1" s="62" t="str">
        <f ca="1">IFERROR(HYPERLINK(ml&amp;"!A1",MID(ml,FIND("]",ml)+1,99)&amp;REPT("",50)),"")</f>
        <v>目录</v>
      </c>
      <c r="C1" s="63"/>
      <c r="D1" s="49" t="s">
        <v>1</v>
      </c>
      <c r="E1" s="64"/>
      <c r="F1" s="65" t="s">
        <v>2</v>
      </c>
    </row>
    <row r="2" customHeight="1" spans="1:13">
      <c r="A2" s="59">
        <f ca="1">IF(B2&lt;&gt;"",ROW()-1,"")</f>
        <v>1</v>
      </c>
      <c r="B2" s="66" t="str">
        <f ca="1">IFERROR(HYPERLINK(ml&amp;"!A1",MID(ml,FIND("]",ml)+1,99)&amp;REPT("",50)),"")</f>
        <v>温度记录</v>
      </c>
      <c r="C2" s="67"/>
      <c r="D2" s="68"/>
      <c r="E2" s="68"/>
      <c r="F2" s="68"/>
      <c r="G2" s="68"/>
      <c r="H2" s="69" t="s">
        <v>3</v>
      </c>
      <c r="I2" s="69"/>
      <c r="J2" s="69"/>
      <c r="K2" s="69"/>
      <c r="L2" s="71"/>
      <c r="M2" s="71"/>
    </row>
    <row r="3" customHeight="1" spans="1:13">
      <c r="A3" s="59">
        <f ca="1" t="shared" ref="A3:A23" si="0">IF(B3&lt;&gt;"",ROW()-1,"")</f>
        <v>2</v>
      </c>
      <c r="B3" s="66" t="str">
        <f ca="1">IFERROR(HYPERLINK(ml&amp;"!A1",MID(ml,FIND("]",ml)+1,99)&amp;REPT("",50)),"")</f>
        <v>基础底板</v>
      </c>
      <c r="C3" s="67"/>
      <c r="D3" s="68"/>
      <c r="E3" s="68"/>
      <c r="F3" s="68"/>
      <c r="G3" s="68"/>
      <c r="H3" s="69"/>
      <c r="I3" s="69"/>
      <c r="J3" s="69"/>
      <c r="K3" s="69"/>
      <c r="L3" s="71"/>
      <c r="M3" s="71"/>
    </row>
    <row r="4" customHeight="1" spans="1:12">
      <c r="A4" s="59">
        <f ca="1" t="shared" si="0"/>
        <v>3</v>
      </c>
      <c r="B4" s="66" t="str">
        <f ca="1">IFERROR(HYPERLINK(ml&amp;"!A1",MID(ml,FIND("]",ml)+1,99)&amp;REPT("",50)),"")</f>
        <v>部位1</v>
      </c>
      <c r="C4" s="67"/>
      <c r="D4" s="68"/>
      <c r="E4" s="68"/>
      <c r="G4" s="68"/>
      <c r="H4" s="68"/>
      <c r="I4" s="68"/>
      <c r="J4" s="68"/>
      <c r="K4" s="68"/>
      <c r="L4" s="68"/>
    </row>
    <row r="5" customHeight="1" spans="1:12">
      <c r="A5" s="59" t="str">
        <f ca="1" t="shared" si="0"/>
        <v/>
      </c>
      <c r="B5" s="70" t="str">
        <f ca="1">IFERROR(HYPERLINK(ml&amp;"!A1",MID(ml,FIND("]",ml)+1,99)&amp;REPT("",50)),"")</f>
        <v/>
      </c>
      <c r="C5" s="67"/>
      <c r="D5" s="68"/>
      <c r="E5" s="68"/>
      <c r="F5" s="68"/>
      <c r="G5" s="68"/>
      <c r="H5" s="68"/>
      <c r="I5" s="68"/>
      <c r="J5" s="68"/>
      <c r="K5" s="68"/>
      <c r="L5" s="68"/>
    </row>
    <row r="6" customHeight="1" spans="1:12">
      <c r="A6" s="59" t="str">
        <f ca="1" t="shared" si="0"/>
        <v/>
      </c>
      <c r="B6" s="70" t="str">
        <f ca="1">IFERROR(HYPERLINK(ml&amp;"!A1",MID(ml,FIND("]",ml)+1,99)&amp;REPT("",50)),"")</f>
        <v/>
      </c>
      <c r="C6" s="67"/>
      <c r="D6" s="68"/>
      <c r="E6" s="68"/>
      <c r="F6" s="68"/>
      <c r="G6" s="68"/>
      <c r="H6" s="68"/>
      <c r="I6" s="68"/>
      <c r="J6" s="68"/>
      <c r="K6" s="68"/>
      <c r="L6" s="68"/>
    </row>
    <row r="7" customHeight="1" spans="1:12">
      <c r="A7" s="59" t="str">
        <f ca="1" t="shared" si="0"/>
        <v/>
      </c>
      <c r="B7" s="70" t="str">
        <f ca="1">IFERROR(HYPERLINK(ml&amp;"!A1",MID(ml,FIND("]",ml)+1,99)&amp;REPT("",50)),"")</f>
        <v/>
      </c>
      <c r="C7" s="67"/>
      <c r="D7" s="68"/>
      <c r="E7" s="68"/>
      <c r="F7" s="68"/>
      <c r="G7" s="68"/>
      <c r="H7" s="68"/>
      <c r="I7" s="68"/>
      <c r="J7" s="68"/>
      <c r="K7" s="68"/>
      <c r="L7" s="68"/>
    </row>
    <row r="8" customHeight="1" spans="1:12">
      <c r="A8" s="59" t="str">
        <f ca="1" t="shared" si="0"/>
        <v/>
      </c>
      <c r="B8" s="70" t="str">
        <f ca="1">IFERROR(HYPERLINK(ml&amp;"!A1",MID(ml,FIND("]",ml)+1,99)&amp;REPT("",50)),"")</f>
        <v/>
      </c>
      <c r="C8" s="67"/>
      <c r="D8" s="68"/>
      <c r="E8" s="68"/>
      <c r="F8" s="68"/>
      <c r="G8" s="68"/>
      <c r="H8" s="68"/>
      <c r="I8" s="68"/>
      <c r="J8" s="68"/>
      <c r="K8" s="68"/>
      <c r="L8" s="68"/>
    </row>
    <row r="9" customHeight="1" spans="1:12">
      <c r="A9" s="59" t="str">
        <f ca="1" t="shared" si="0"/>
        <v/>
      </c>
      <c r="B9" s="70" t="str">
        <f ca="1">IFERROR(HYPERLINK(ml&amp;"!A1",MID(ml,FIND("]",ml)+1,99)&amp;REPT("",50)),"")</f>
        <v/>
      </c>
      <c r="C9" s="67"/>
      <c r="D9" s="68"/>
      <c r="E9" s="68"/>
      <c r="G9" s="68"/>
      <c r="H9" s="68"/>
      <c r="I9" s="68"/>
      <c r="J9" s="68"/>
      <c r="K9" s="68"/>
      <c r="L9" s="68"/>
    </row>
    <row r="10" customHeight="1" spans="1:12">
      <c r="A10" s="59" t="str">
        <f ca="1" t="shared" si="0"/>
        <v/>
      </c>
      <c r="B10" s="70" t="str">
        <f ca="1">IFERROR(HYPERLINK(ml&amp;"!A1",MID(ml,FIND("]",ml)+1,99)&amp;REPT("",50)),"")</f>
        <v/>
      </c>
      <c r="C10" s="67"/>
      <c r="D10" s="68"/>
      <c r="E10" s="68"/>
      <c r="F10" s="68"/>
      <c r="G10" s="68"/>
      <c r="H10" s="68"/>
      <c r="I10" s="68"/>
      <c r="J10" s="68"/>
      <c r="K10" s="68"/>
      <c r="L10" s="68"/>
    </row>
    <row r="11" customHeight="1" spans="1:12">
      <c r="A11" s="59" t="str">
        <f ca="1" t="shared" si="0"/>
        <v/>
      </c>
      <c r="B11" s="70" t="str">
        <f ca="1">IFERROR(HYPERLINK(ml&amp;"!A1",MID(ml,FIND("]",ml)+1,99)&amp;REPT("",50)),"")</f>
        <v/>
      </c>
      <c r="C11" s="67"/>
      <c r="D11" s="68"/>
      <c r="E11" s="68"/>
      <c r="F11" s="68"/>
      <c r="G11" s="68"/>
      <c r="H11" s="68"/>
      <c r="I11" s="68"/>
      <c r="J11" s="68"/>
      <c r="K11" s="68"/>
      <c r="L11" s="68"/>
    </row>
    <row r="12" customHeight="1" spans="1:12">
      <c r="A12" s="59" t="str">
        <f ca="1" t="shared" si="0"/>
        <v/>
      </c>
      <c r="B12" s="70" t="str">
        <f ca="1">IFERROR(HYPERLINK(ml&amp;"!A1",MID(ml,FIND("]",ml)+1,99)&amp;REPT("",50)),"")</f>
        <v/>
      </c>
      <c r="C12" s="67"/>
      <c r="D12" s="68"/>
      <c r="E12" s="68"/>
      <c r="F12" s="68"/>
      <c r="G12" s="68"/>
      <c r="H12" s="68"/>
      <c r="I12" s="68"/>
      <c r="J12" s="68"/>
      <c r="K12" s="68"/>
      <c r="L12" s="68"/>
    </row>
    <row r="13" customHeight="1" spans="1:12">
      <c r="A13" s="59" t="str">
        <f ca="1" t="shared" si="0"/>
        <v/>
      </c>
      <c r="B13" s="70" t="str">
        <f ca="1">IFERROR(HYPERLINK(ml&amp;"!A1",MID(ml,FIND("]",ml)+1,99)&amp;REPT("",50)),"")</f>
        <v/>
      </c>
      <c r="C13" s="67"/>
      <c r="D13" s="68"/>
      <c r="E13" s="68"/>
      <c r="F13" s="68"/>
      <c r="G13" s="68"/>
      <c r="H13" s="68"/>
      <c r="I13" s="68"/>
      <c r="J13" s="68"/>
      <c r="K13" s="68"/>
      <c r="L13" s="68"/>
    </row>
    <row r="14" customHeight="1" spans="1:12">
      <c r="A14" s="59" t="str">
        <f ca="1" t="shared" si="0"/>
        <v/>
      </c>
      <c r="B14" s="70" t="str">
        <f ca="1">IFERROR(HYPERLINK(ml&amp;"!A1",MID(ml,FIND("]",ml)+1,99)&amp;REPT("",50)),"")</f>
        <v/>
      </c>
      <c r="C14" s="67"/>
      <c r="D14" s="68"/>
      <c r="E14" s="68"/>
      <c r="F14" s="68"/>
      <c r="G14" s="68"/>
      <c r="H14" s="68"/>
      <c r="I14" s="68"/>
      <c r="J14" s="68"/>
      <c r="K14" s="68"/>
      <c r="L14" s="68"/>
    </row>
    <row r="15" customHeight="1" spans="1:12">
      <c r="A15" s="59" t="str">
        <f ca="1" t="shared" si="0"/>
        <v/>
      </c>
      <c r="B15" s="70" t="str">
        <f ca="1">IFERROR(HYPERLINK(ml&amp;"!A1",MID(ml,FIND("]",ml)+1,99)&amp;REPT("",50)),"")</f>
        <v/>
      </c>
      <c r="C15" s="67"/>
      <c r="D15" s="68"/>
      <c r="E15" s="68"/>
      <c r="F15" s="68"/>
      <c r="G15" s="68"/>
      <c r="H15" s="68"/>
      <c r="I15" s="68"/>
      <c r="J15" s="68"/>
      <c r="K15" s="68"/>
      <c r="L15" s="68"/>
    </row>
    <row r="16" customHeight="1" spans="1:12">
      <c r="A16" s="59" t="str">
        <f ca="1" t="shared" si="0"/>
        <v/>
      </c>
      <c r="B16" s="70" t="str">
        <f ca="1">IFERROR(HYPERLINK(ml&amp;"!A1",MID(ml,FIND("]",ml)+1,99)&amp;REPT("",50)),"")</f>
        <v/>
      </c>
      <c r="C16" s="67"/>
      <c r="D16" s="68"/>
      <c r="E16" s="68"/>
      <c r="F16" s="68"/>
      <c r="G16" s="68"/>
      <c r="H16" s="68"/>
      <c r="I16" s="68"/>
      <c r="J16" s="68"/>
      <c r="K16" s="68"/>
      <c r="L16" s="68"/>
    </row>
    <row r="17" customHeight="1" spans="1:12">
      <c r="A17" s="59" t="str">
        <f ca="1" t="shared" si="0"/>
        <v/>
      </c>
      <c r="B17" s="70" t="str">
        <f ca="1">IFERROR(HYPERLINK(ml&amp;"!A1",MID(ml,FIND("]",ml)+1,99)&amp;REPT("",50)),"")</f>
        <v/>
      </c>
      <c r="C17" s="67"/>
      <c r="D17" s="68"/>
      <c r="E17" s="68"/>
      <c r="F17" s="68"/>
      <c r="G17" s="68"/>
      <c r="H17" s="68"/>
      <c r="I17" s="68"/>
      <c r="J17" s="68"/>
      <c r="K17" s="68"/>
      <c r="L17" s="68"/>
    </row>
    <row r="18" customHeight="1" spans="1:12">
      <c r="A18" s="59" t="str">
        <f ca="1" t="shared" ref="A18:A49" si="1">IF(B18&lt;&gt;"",ROW()-1,"")</f>
        <v/>
      </c>
      <c r="B18" s="70" t="str">
        <f ca="1">IFERROR(HYPERLINK(ml&amp;"!A1",MID(ml,FIND("]",ml)+1,99)&amp;REPT("",50)),"")</f>
        <v/>
      </c>
      <c r="C18" s="67"/>
      <c r="D18" s="68"/>
      <c r="E18" s="68"/>
      <c r="F18" s="68"/>
      <c r="G18" s="68"/>
      <c r="H18" s="68"/>
      <c r="I18" s="68"/>
      <c r="J18" s="68"/>
      <c r="K18" s="68"/>
      <c r="L18" s="68"/>
    </row>
    <row r="19" customHeight="1" spans="1:12">
      <c r="A19" s="59" t="str">
        <f ca="1" t="shared" si="1"/>
        <v/>
      </c>
      <c r="B19" s="70" t="str">
        <f ca="1">IFERROR(HYPERLINK(ml&amp;"!A1",MID(ml,FIND("]",ml)+1,99)&amp;REPT("",50)),"")</f>
        <v/>
      </c>
      <c r="C19" s="67"/>
      <c r="D19" s="68"/>
      <c r="E19" s="68"/>
      <c r="F19" s="68"/>
      <c r="G19" s="68"/>
      <c r="H19" s="68"/>
      <c r="I19" s="68"/>
      <c r="J19" s="68"/>
      <c r="K19" s="68"/>
      <c r="L19" s="68"/>
    </row>
    <row r="20" customHeight="1" spans="1:12">
      <c r="A20" s="59" t="str">
        <f ca="1" t="shared" si="1"/>
        <v/>
      </c>
      <c r="B20" s="70" t="str">
        <f ca="1">IFERROR(HYPERLINK(ml&amp;"!A1",MID(ml,FIND("]",ml)+1,99)&amp;REPT("",50)),"")</f>
        <v/>
      </c>
      <c r="C20" s="67"/>
      <c r="D20" s="68"/>
      <c r="E20" s="68"/>
      <c r="F20" s="68"/>
      <c r="G20" s="68"/>
      <c r="H20" s="68"/>
      <c r="I20" s="68"/>
      <c r="J20" s="68"/>
      <c r="K20" s="68"/>
      <c r="L20" s="68"/>
    </row>
    <row r="21" customHeight="1" spans="1:12">
      <c r="A21" s="59" t="str">
        <f ca="1" t="shared" si="1"/>
        <v/>
      </c>
      <c r="B21" s="70" t="str">
        <f ca="1">IFERROR(HYPERLINK(ml&amp;"!A1",MID(ml,FIND("]",ml)+1,99)&amp;REPT("",50)),"")</f>
        <v/>
      </c>
      <c r="C21" s="67"/>
      <c r="D21" s="68"/>
      <c r="E21" s="68"/>
      <c r="F21" s="68"/>
      <c r="G21" s="68"/>
      <c r="H21" s="68"/>
      <c r="I21" s="68"/>
      <c r="J21" s="68"/>
      <c r="K21" s="68"/>
      <c r="L21" s="68"/>
    </row>
    <row r="22" customHeight="1" spans="1:12">
      <c r="A22" s="59" t="str">
        <f ca="1" t="shared" si="1"/>
        <v/>
      </c>
      <c r="B22" s="70" t="str">
        <f ca="1">IFERROR(HYPERLINK(ml&amp;"!A1",MID(ml,FIND("]",ml)+1,99)&amp;REPT("",50)),"")</f>
        <v/>
      </c>
      <c r="C22" s="67"/>
      <c r="D22" s="68"/>
      <c r="E22" s="68"/>
      <c r="F22" s="68"/>
      <c r="G22" s="68"/>
      <c r="H22" s="68"/>
      <c r="I22" s="68"/>
      <c r="J22" s="68"/>
      <c r="K22" s="68"/>
      <c r="L22" s="68"/>
    </row>
    <row r="23" customHeight="1" spans="1:12">
      <c r="A23" s="59" t="str">
        <f ca="1" t="shared" si="1"/>
        <v/>
      </c>
      <c r="B23" s="70" t="str">
        <f ca="1">IFERROR(HYPERLINK(ml&amp;"!A1",MID(ml,FIND("]",ml)+1,99)&amp;REPT("",50)),"")</f>
        <v/>
      </c>
      <c r="C23" s="67"/>
      <c r="D23" s="68"/>
      <c r="E23" s="68"/>
      <c r="F23" s="68"/>
      <c r="G23" s="68"/>
      <c r="H23" s="68"/>
      <c r="I23" s="68"/>
      <c r="J23" s="68"/>
      <c r="K23" s="68"/>
      <c r="L23" s="68"/>
    </row>
    <row r="24" customHeight="1" spans="1:12">
      <c r="A24" s="59" t="str">
        <f ca="1" t="shared" si="1"/>
        <v/>
      </c>
      <c r="B24" s="70" t="str">
        <f ca="1">IFERROR(HYPERLINK(ml&amp;"!A1",MID(ml,FIND("]",ml)+1,99)&amp;REPT("",50)),"")</f>
        <v/>
      </c>
      <c r="C24" s="67"/>
      <c r="D24" s="68"/>
      <c r="E24" s="68"/>
      <c r="F24" s="68"/>
      <c r="G24" s="68"/>
      <c r="H24" s="68"/>
      <c r="I24" s="68"/>
      <c r="J24" s="68"/>
      <c r="K24" s="68"/>
      <c r="L24" s="68"/>
    </row>
    <row r="25" customHeight="1" spans="1:12">
      <c r="A25" s="59" t="str">
        <f ca="1" t="shared" si="1"/>
        <v/>
      </c>
      <c r="B25" s="70" t="str">
        <f ca="1">IFERROR(HYPERLINK(ml&amp;"!A1",MID(ml,FIND("]",ml)+1,99)&amp;REPT("",50)),"")</f>
        <v/>
      </c>
      <c r="C25" s="67"/>
      <c r="D25" s="68"/>
      <c r="E25" s="68"/>
      <c r="F25" s="68"/>
      <c r="G25" s="68"/>
      <c r="H25" s="68"/>
      <c r="I25" s="68"/>
      <c r="J25" s="68"/>
      <c r="K25" s="68"/>
      <c r="L25" s="68"/>
    </row>
    <row r="26" customHeight="1" spans="1:12">
      <c r="A26" s="59" t="str">
        <f ca="1" t="shared" si="1"/>
        <v/>
      </c>
      <c r="B26" s="70" t="str">
        <f ca="1">IFERROR(HYPERLINK(ml&amp;"!A1",MID(ml,FIND("]",ml)+1,99)&amp;REPT("",50)),"")</f>
        <v/>
      </c>
      <c r="C26" s="67"/>
      <c r="D26" s="68"/>
      <c r="E26" s="68"/>
      <c r="F26" s="68"/>
      <c r="G26" s="68"/>
      <c r="H26" s="68"/>
      <c r="I26" s="68"/>
      <c r="J26" s="68"/>
      <c r="K26" s="68"/>
      <c r="L26" s="68"/>
    </row>
    <row r="27" customHeight="1" spans="1:12">
      <c r="A27" s="59" t="str">
        <f ca="1" t="shared" si="1"/>
        <v/>
      </c>
      <c r="B27" s="70" t="str">
        <f ca="1">IFERROR(HYPERLINK(ml&amp;"!A1",MID(ml,FIND("]",ml)+1,99)&amp;REPT("",50)),"")</f>
        <v/>
      </c>
      <c r="C27" s="67"/>
      <c r="D27" s="68"/>
      <c r="E27" s="68"/>
      <c r="F27" s="68"/>
      <c r="G27" s="68"/>
      <c r="H27" s="68"/>
      <c r="I27" s="68"/>
      <c r="J27" s="68"/>
      <c r="K27" s="68"/>
      <c r="L27" s="68"/>
    </row>
    <row r="28" customHeight="1" spans="1:12">
      <c r="A28" s="59" t="str">
        <f ca="1" t="shared" si="1"/>
        <v/>
      </c>
      <c r="B28" s="70" t="str">
        <f ca="1">IFERROR(HYPERLINK(ml&amp;"!A1",MID(ml,FIND("]",ml)+1,99)&amp;REPT("",50)),"")</f>
        <v/>
      </c>
      <c r="C28" s="67"/>
      <c r="D28" s="68"/>
      <c r="E28" s="68"/>
      <c r="F28" s="68"/>
      <c r="G28" s="68"/>
      <c r="H28" s="68"/>
      <c r="I28" s="68"/>
      <c r="J28" s="68"/>
      <c r="K28" s="68"/>
      <c r="L28" s="68"/>
    </row>
    <row r="29" customHeight="1" spans="1:12">
      <c r="A29" s="59" t="str">
        <f ca="1" t="shared" si="1"/>
        <v/>
      </c>
      <c r="B29" s="70" t="str">
        <f ca="1">IFERROR(HYPERLINK(ml&amp;"!A1",MID(ml,FIND("]",ml)+1,99)&amp;REPT("",50)),"")</f>
        <v/>
      </c>
      <c r="C29" s="67"/>
      <c r="D29" s="68"/>
      <c r="E29" s="68"/>
      <c r="F29" s="68"/>
      <c r="G29" s="68"/>
      <c r="H29" s="68"/>
      <c r="I29" s="68"/>
      <c r="J29" s="68"/>
      <c r="K29" s="68"/>
      <c r="L29" s="68"/>
    </row>
    <row r="30" customHeight="1" spans="1:12">
      <c r="A30" s="59" t="str">
        <f ca="1" t="shared" si="1"/>
        <v/>
      </c>
      <c r="B30" s="70" t="str">
        <f ca="1">IFERROR(HYPERLINK(ml&amp;"!A1",MID(ml,FIND("]",ml)+1,99)&amp;REPT("",50)),"")</f>
        <v/>
      </c>
      <c r="C30" s="67"/>
      <c r="D30" s="68"/>
      <c r="E30" s="68"/>
      <c r="F30" s="68"/>
      <c r="G30" s="68"/>
      <c r="H30" s="68"/>
      <c r="I30" s="68"/>
      <c r="J30" s="68"/>
      <c r="K30" s="68"/>
      <c r="L30" s="68"/>
    </row>
    <row r="31" customHeight="1" spans="1:12">
      <c r="A31" s="59" t="str">
        <f ca="1" t="shared" si="1"/>
        <v/>
      </c>
      <c r="B31" s="70" t="str">
        <f ca="1">IFERROR(HYPERLINK(ml&amp;"!A1",MID(ml,FIND("]",ml)+1,99)&amp;REPT("",50)),"")</f>
        <v/>
      </c>
      <c r="C31" s="67"/>
      <c r="D31" s="68"/>
      <c r="E31" s="68"/>
      <c r="F31" s="68"/>
      <c r="G31" s="68"/>
      <c r="H31" s="68"/>
      <c r="I31" s="68"/>
      <c r="J31" s="68"/>
      <c r="K31" s="68"/>
      <c r="L31" s="68"/>
    </row>
    <row r="32" customHeight="1" spans="1:12">
      <c r="A32" s="59" t="str">
        <f ca="1" t="shared" si="1"/>
        <v/>
      </c>
      <c r="B32" s="70" t="str">
        <f ca="1">IFERROR(HYPERLINK(ml&amp;"!A1",MID(ml,FIND("]",ml)+1,99)&amp;REPT("",50)),"")</f>
        <v/>
      </c>
      <c r="C32" s="67"/>
      <c r="D32" s="68"/>
      <c r="E32" s="68"/>
      <c r="F32" s="68"/>
      <c r="G32" s="68"/>
      <c r="H32" s="68"/>
      <c r="I32" s="68"/>
      <c r="J32" s="68"/>
      <c r="K32" s="68"/>
      <c r="L32" s="68"/>
    </row>
    <row r="33" customHeight="1" spans="1:12">
      <c r="A33" s="59" t="str">
        <f ca="1" t="shared" si="1"/>
        <v/>
      </c>
      <c r="B33" s="70" t="str">
        <f ca="1">IFERROR(HYPERLINK(ml&amp;"!A1",MID(ml,FIND("]",ml)+1,99)&amp;REPT("",50)),"")</f>
        <v/>
      </c>
      <c r="C33" s="67"/>
      <c r="D33" s="68"/>
      <c r="E33" s="68"/>
      <c r="F33" s="68"/>
      <c r="G33" s="68"/>
      <c r="H33" s="68"/>
      <c r="I33" s="68"/>
      <c r="J33" s="68"/>
      <c r="K33" s="68"/>
      <c r="L33" s="68"/>
    </row>
    <row r="34" customHeight="1" spans="1:12">
      <c r="A34" s="59" t="str">
        <f ca="1" t="shared" si="1"/>
        <v/>
      </c>
      <c r="B34" s="70" t="str">
        <f ca="1">IFERROR(HYPERLINK(ml&amp;"!A1",MID(ml,FIND("]",ml)+1,99)&amp;REPT("",50)),"")</f>
        <v/>
      </c>
      <c r="C34" s="67"/>
      <c r="D34" s="68"/>
      <c r="E34" s="68"/>
      <c r="F34" s="68"/>
      <c r="G34" s="68"/>
      <c r="H34" s="68"/>
      <c r="I34" s="68"/>
      <c r="J34" s="68"/>
      <c r="K34" s="68"/>
      <c r="L34" s="68"/>
    </row>
    <row r="35" customHeight="1" spans="1:12">
      <c r="A35" s="59" t="str">
        <f ca="1" t="shared" si="1"/>
        <v/>
      </c>
      <c r="B35" s="70" t="str">
        <f ca="1">IFERROR(HYPERLINK(ml&amp;"!A1",MID(ml,FIND("]",ml)+1,99)&amp;REPT("",50)),"")</f>
        <v/>
      </c>
      <c r="C35" s="67"/>
      <c r="D35" s="68"/>
      <c r="E35" s="68"/>
      <c r="F35" s="68"/>
      <c r="G35" s="68"/>
      <c r="H35" s="68"/>
      <c r="I35" s="68"/>
      <c r="J35" s="68"/>
      <c r="K35" s="68"/>
      <c r="L35" s="68"/>
    </row>
    <row r="36" customHeight="1" spans="1:12">
      <c r="A36" s="59" t="str">
        <f ca="1" t="shared" si="1"/>
        <v/>
      </c>
      <c r="B36" s="70" t="str">
        <f ca="1">IFERROR(HYPERLINK(ml&amp;"!A1",MID(ml,FIND("]",ml)+1,99)&amp;REPT("",50)),"")</f>
        <v/>
      </c>
      <c r="C36" s="67"/>
      <c r="D36" s="68"/>
      <c r="E36" s="68"/>
      <c r="F36" s="68"/>
      <c r="G36" s="68"/>
      <c r="H36" s="68"/>
      <c r="I36" s="68"/>
      <c r="J36" s="68"/>
      <c r="K36" s="68"/>
      <c r="L36" s="68"/>
    </row>
    <row r="37" customHeight="1" spans="1:12">
      <c r="A37" s="59" t="str">
        <f ca="1" t="shared" si="1"/>
        <v/>
      </c>
      <c r="B37" s="70" t="str">
        <f ca="1">IFERROR(HYPERLINK(ml&amp;"!A1",MID(ml,FIND("]",ml)+1,99)&amp;REPT("",50)),"")</f>
        <v/>
      </c>
      <c r="C37" s="67"/>
      <c r="D37" s="68"/>
      <c r="E37" s="68"/>
      <c r="F37" s="68"/>
      <c r="G37" s="68"/>
      <c r="H37" s="68"/>
      <c r="I37" s="68"/>
      <c r="J37" s="68"/>
      <c r="K37" s="68"/>
      <c r="L37" s="68"/>
    </row>
    <row r="38" customHeight="1" spans="1:12">
      <c r="A38" s="59" t="str">
        <f ca="1" t="shared" si="1"/>
        <v/>
      </c>
      <c r="B38" s="70" t="str">
        <f ca="1">IFERROR(HYPERLINK(ml&amp;"!A1",MID(ml,FIND("]",ml)+1,99)&amp;REPT("",50)),"")</f>
        <v/>
      </c>
      <c r="C38" s="67"/>
      <c r="D38" s="68"/>
      <c r="E38" s="68"/>
      <c r="F38" s="68"/>
      <c r="G38" s="68"/>
      <c r="H38" s="68"/>
      <c r="I38" s="68"/>
      <c r="J38" s="68"/>
      <c r="K38" s="68"/>
      <c r="L38" s="68"/>
    </row>
    <row r="39" customHeight="1" spans="1:12">
      <c r="A39" s="59" t="str">
        <f ca="1" t="shared" si="1"/>
        <v/>
      </c>
      <c r="B39" s="70" t="str">
        <f ca="1">IFERROR(HYPERLINK(ml&amp;"!A1",MID(ml,FIND("]",ml)+1,99)&amp;REPT("",50)),"")</f>
        <v/>
      </c>
      <c r="C39" s="67"/>
      <c r="D39" s="68"/>
      <c r="E39" s="68"/>
      <c r="F39" s="68"/>
      <c r="G39" s="68"/>
      <c r="H39" s="68"/>
      <c r="I39" s="68"/>
      <c r="J39" s="68"/>
      <c r="K39" s="68"/>
      <c r="L39" s="68"/>
    </row>
    <row r="40" customHeight="1" spans="1:12">
      <c r="A40" s="59" t="str">
        <f ca="1" t="shared" si="1"/>
        <v/>
      </c>
      <c r="B40" s="70" t="str">
        <f ca="1">IFERROR(HYPERLINK(ml&amp;"!A1",MID(ml,FIND("]",ml)+1,99)&amp;REPT("",50)),"")</f>
        <v/>
      </c>
      <c r="C40" s="67"/>
      <c r="D40" s="68"/>
      <c r="E40" s="68"/>
      <c r="F40" s="68"/>
      <c r="G40" s="68"/>
      <c r="H40" s="68"/>
      <c r="I40" s="68"/>
      <c r="J40" s="68"/>
      <c r="K40" s="68"/>
      <c r="L40" s="68"/>
    </row>
    <row r="41" customHeight="1" spans="1:12">
      <c r="A41" s="59" t="str">
        <f ca="1" t="shared" si="1"/>
        <v/>
      </c>
      <c r="B41" s="70" t="str">
        <f ca="1">IFERROR(HYPERLINK(ml&amp;"!A1",MID(ml,FIND("]",ml)+1,99)&amp;REPT("",50)),"")</f>
        <v/>
      </c>
      <c r="C41" s="67"/>
      <c r="D41" s="68"/>
      <c r="E41" s="68"/>
      <c r="F41" s="68"/>
      <c r="G41" s="68"/>
      <c r="H41" s="68"/>
      <c r="I41" s="68"/>
      <c r="J41" s="68"/>
      <c r="K41" s="68"/>
      <c r="L41" s="68"/>
    </row>
    <row r="42" customHeight="1" spans="1:12">
      <c r="A42" s="59" t="str">
        <f ca="1" t="shared" si="1"/>
        <v/>
      </c>
      <c r="B42" s="70" t="str">
        <f ca="1">IFERROR(HYPERLINK(ml&amp;"!A1",MID(ml,FIND("]",ml)+1,99)&amp;REPT("",50)),"")</f>
        <v/>
      </c>
      <c r="C42" s="67"/>
      <c r="D42" s="68"/>
      <c r="E42" s="68"/>
      <c r="F42" s="68"/>
      <c r="G42" s="68"/>
      <c r="H42" s="68"/>
      <c r="I42" s="68"/>
      <c r="J42" s="68"/>
      <c r="K42" s="68"/>
      <c r="L42" s="68"/>
    </row>
    <row r="43" customHeight="1" spans="1:12">
      <c r="A43" s="59" t="str">
        <f ca="1" t="shared" si="1"/>
        <v/>
      </c>
      <c r="B43" s="70" t="str">
        <f ca="1">IFERROR(HYPERLINK(ml&amp;"!A1",MID(ml,FIND("]",ml)+1,99)&amp;REPT("",50)),"")</f>
        <v/>
      </c>
      <c r="C43" s="67"/>
      <c r="D43" s="68"/>
      <c r="E43" s="68"/>
      <c r="F43" s="68"/>
      <c r="G43" s="68"/>
      <c r="H43" s="68"/>
      <c r="I43" s="68"/>
      <c r="J43" s="68"/>
      <c r="K43" s="68"/>
      <c r="L43" s="68"/>
    </row>
    <row r="44" customHeight="1" spans="1:12">
      <c r="A44" s="59" t="str">
        <f ca="1" t="shared" si="1"/>
        <v/>
      </c>
      <c r="B44" s="70" t="str">
        <f ca="1">IFERROR(HYPERLINK(ml&amp;"!A1",MID(ml,FIND("]",ml)+1,99)&amp;REPT("",50)),"")</f>
        <v/>
      </c>
      <c r="C44" s="67"/>
      <c r="D44" s="68"/>
      <c r="E44" s="68"/>
      <c r="F44" s="68"/>
      <c r="G44" s="68"/>
      <c r="H44" s="68"/>
      <c r="I44" s="68"/>
      <c r="J44" s="68"/>
      <c r="K44" s="68"/>
      <c r="L44" s="68"/>
    </row>
    <row r="45" customHeight="1" spans="1:12">
      <c r="A45" s="59" t="str">
        <f ca="1" t="shared" si="1"/>
        <v/>
      </c>
      <c r="B45" s="70" t="str">
        <f ca="1">IFERROR(HYPERLINK(ml&amp;"!A1",MID(ml,FIND("]",ml)+1,99)&amp;REPT("",50)),"")</f>
        <v/>
      </c>
      <c r="C45" s="67"/>
      <c r="D45" s="68"/>
      <c r="E45" s="68"/>
      <c r="F45" s="68"/>
      <c r="G45" s="68"/>
      <c r="H45" s="68"/>
      <c r="I45" s="68"/>
      <c r="J45" s="68"/>
      <c r="K45" s="68"/>
      <c r="L45" s="68"/>
    </row>
    <row r="46" customHeight="1" spans="1:12">
      <c r="A46" s="59" t="str">
        <f ca="1" t="shared" si="1"/>
        <v/>
      </c>
      <c r="B46" s="70" t="str">
        <f ca="1">IFERROR(HYPERLINK(ml&amp;"!A1",MID(ml,FIND("]",ml)+1,99)&amp;REPT("",50)),"")</f>
        <v/>
      </c>
      <c r="C46" s="67"/>
      <c r="D46" s="68"/>
      <c r="E46" s="68"/>
      <c r="F46" s="68"/>
      <c r="G46" s="68"/>
      <c r="H46" s="68"/>
      <c r="I46" s="68"/>
      <c r="J46" s="68"/>
      <c r="K46" s="68"/>
      <c r="L46" s="68"/>
    </row>
    <row r="47" customHeight="1" spans="1:12">
      <c r="A47" s="59" t="str">
        <f ca="1" t="shared" si="1"/>
        <v/>
      </c>
      <c r="B47" s="70" t="str">
        <f ca="1">IFERROR(HYPERLINK(ml&amp;"!A1",MID(ml,FIND("]",ml)+1,99)&amp;REPT("",50)),"")</f>
        <v/>
      </c>
      <c r="C47" s="67"/>
      <c r="D47" s="68"/>
      <c r="E47" s="68"/>
      <c r="F47" s="68"/>
      <c r="G47" s="68"/>
      <c r="H47" s="68"/>
      <c r="I47" s="68"/>
      <c r="J47" s="68"/>
      <c r="K47" s="68"/>
      <c r="L47" s="68"/>
    </row>
    <row r="48" customHeight="1" spans="1:12">
      <c r="A48" s="59" t="str">
        <f ca="1" t="shared" si="1"/>
        <v/>
      </c>
      <c r="B48" s="70" t="str">
        <f ca="1">IFERROR(HYPERLINK(ml&amp;"!A1",MID(ml,FIND("]",ml)+1,99)&amp;REPT("",50)),"")</f>
        <v/>
      </c>
      <c r="C48" s="67"/>
      <c r="D48" s="68"/>
      <c r="E48" s="68"/>
      <c r="F48" s="68"/>
      <c r="G48" s="68"/>
      <c r="H48" s="68"/>
      <c r="I48" s="68"/>
      <c r="J48" s="68"/>
      <c r="K48" s="68"/>
      <c r="L48" s="68"/>
    </row>
    <row r="49" customHeight="1" spans="1:12">
      <c r="A49" s="59" t="str">
        <f ca="1" t="shared" si="1"/>
        <v/>
      </c>
      <c r="B49" s="70" t="str">
        <f ca="1">IFERROR(HYPERLINK(ml&amp;"!A1",MID(ml,FIND("]",ml)+1,99)&amp;REPT("",50)),"")</f>
        <v/>
      </c>
      <c r="C49" s="67"/>
      <c r="D49" s="68"/>
      <c r="E49" s="68"/>
      <c r="F49" s="68"/>
      <c r="G49" s="68"/>
      <c r="H49" s="68"/>
      <c r="I49" s="68"/>
      <c r="J49" s="68"/>
      <c r="K49" s="68"/>
      <c r="L49" s="68"/>
    </row>
    <row r="50" customHeight="1" spans="1:12">
      <c r="A50" s="59" t="str">
        <f ca="1" t="shared" ref="A50:A81" si="2">IF(B50&lt;&gt;"",ROW()-1,"")</f>
        <v/>
      </c>
      <c r="B50" s="70" t="str">
        <f ca="1">IFERROR(HYPERLINK(ml&amp;"!A1",MID(ml,FIND("]",ml)+1,99)&amp;REPT("",50)),"")</f>
        <v/>
      </c>
      <c r="C50" s="67"/>
      <c r="D50" s="68"/>
      <c r="E50" s="68"/>
      <c r="F50" s="68"/>
      <c r="G50" s="68"/>
      <c r="H50" s="68"/>
      <c r="I50" s="68"/>
      <c r="J50" s="68"/>
      <c r="K50" s="68"/>
      <c r="L50" s="68"/>
    </row>
    <row r="51" customHeight="1" spans="1:12">
      <c r="A51" s="59" t="str">
        <f ca="1" t="shared" si="2"/>
        <v/>
      </c>
      <c r="B51" s="70" t="str">
        <f ca="1">IFERROR(HYPERLINK(ml&amp;"!A1",MID(ml,FIND("]",ml)+1,99)&amp;REPT("",50)),"")</f>
        <v/>
      </c>
      <c r="C51" s="67"/>
      <c r="D51" s="68"/>
      <c r="E51" s="68"/>
      <c r="F51" s="68"/>
      <c r="G51" s="68"/>
      <c r="H51" s="68"/>
      <c r="I51" s="68"/>
      <c r="J51" s="68"/>
      <c r="K51" s="68"/>
      <c r="L51" s="68"/>
    </row>
    <row r="52" customHeight="1" spans="1:12">
      <c r="A52" s="59" t="str">
        <f ca="1" t="shared" si="2"/>
        <v/>
      </c>
      <c r="B52" s="70" t="str">
        <f ca="1">IFERROR(HYPERLINK(ml&amp;"!A1",MID(ml,FIND("]",ml)+1,99)&amp;REPT("",50)),"")</f>
        <v/>
      </c>
      <c r="C52" s="67"/>
      <c r="D52" s="68"/>
      <c r="E52" s="68"/>
      <c r="F52" s="68"/>
      <c r="G52" s="68"/>
      <c r="H52" s="68"/>
      <c r="I52" s="68"/>
      <c r="J52" s="68"/>
      <c r="K52" s="68"/>
      <c r="L52" s="68"/>
    </row>
    <row r="53" customHeight="1" spans="1:12">
      <c r="A53" s="59" t="str">
        <f ca="1" t="shared" si="2"/>
        <v/>
      </c>
      <c r="B53" s="70" t="str">
        <f ca="1">IFERROR(HYPERLINK(ml&amp;"!A1",MID(ml,FIND("]",ml)+1,99)&amp;REPT("",50)),"")</f>
        <v/>
      </c>
      <c r="C53" s="67"/>
      <c r="D53" s="68"/>
      <c r="E53" s="68"/>
      <c r="F53" s="68"/>
      <c r="G53" s="68"/>
      <c r="H53" s="68"/>
      <c r="I53" s="68"/>
      <c r="J53" s="68"/>
      <c r="K53" s="68"/>
      <c r="L53" s="68"/>
    </row>
    <row r="54" customHeight="1" spans="1:12">
      <c r="A54" s="59" t="str">
        <f ca="1" t="shared" si="2"/>
        <v/>
      </c>
      <c r="B54" s="70" t="str">
        <f ca="1">IFERROR(HYPERLINK(ml&amp;"!A1",MID(ml,FIND("]",ml)+1,99)&amp;REPT("",50)),"")</f>
        <v/>
      </c>
      <c r="C54" s="67"/>
      <c r="D54" s="68"/>
      <c r="E54" s="68"/>
      <c r="F54" s="68"/>
      <c r="G54" s="68"/>
      <c r="H54" s="68"/>
      <c r="I54" s="68"/>
      <c r="J54" s="68"/>
      <c r="K54" s="68"/>
      <c r="L54" s="68"/>
    </row>
    <row r="55" customHeight="1" spans="1:12">
      <c r="A55" s="59" t="str">
        <f ca="1" t="shared" si="2"/>
        <v/>
      </c>
      <c r="B55" s="70" t="str">
        <f ca="1">IFERROR(HYPERLINK(ml&amp;"!A1",MID(ml,FIND("]",ml)+1,99)&amp;REPT("",50)),"")</f>
        <v/>
      </c>
      <c r="C55" s="67"/>
      <c r="D55" s="68"/>
      <c r="E55" s="68"/>
      <c r="F55" s="68"/>
      <c r="G55" s="68"/>
      <c r="H55" s="68"/>
      <c r="I55" s="68"/>
      <c r="J55" s="68"/>
      <c r="K55" s="68"/>
      <c r="L55" s="68"/>
    </row>
    <row r="56" customHeight="1" spans="1:12">
      <c r="A56" s="59" t="str">
        <f ca="1" t="shared" si="2"/>
        <v/>
      </c>
      <c r="B56" s="70" t="str">
        <f ca="1">IFERROR(HYPERLINK(ml&amp;"!A1",MID(ml,FIND("]",ml)+1,99)&amp;REPT("",50)),"")</f>
        <v/>
      </c>
      <c r="C56" s="67"/>
      <c r="D56" s="68"/>
      <c r="E56" s="68"/>
      <c r="F56" s="68"/>
      <c r="G56" s="68"/>
      <c r="H56" s="68"/>
      <c r="I56" s="68"/>
      <c r="J56" s="68"/>
      <c r="K56" s="68"/>
      <c r="L56" s="68"/>
    </row>
    <row r="57" customHeight="1" spans="1:12">
      <c r="A57" s="59" t="str">
        <f ca="1" t="shared" si="2"/>
        <v/>
      </c>
      <c r="B57" s="70" t="str">
        <f ca="1">IFERROR(HYPERLINK(ml&amp;"!A1",MID(ml,FIND("]",ml)+1,99)&amp;REPT("",50)),"")</f>
        <v/>
      </c>
      <c r="C57" s="67"/>
      <c r="D57" s="68"/>
      <c r="E57" s="68"/>
      <c r="F57" s="68"/>
      <c r="G57" s="68"/>
      <c r="H57" s="68"/>
      <c r="I57" s="68"/>
      <c r="J57" s="68"/>
      <c r="K57" s="68"/>
      <c r="L57" s="68"/>
    </row>
    <row r="58" customHeight="1" spans="1:12">
      <c r="A58" s="59" t="str">
        <f ca="1" t="shared" si="2"/>
        <v/>
      </c>
      <c r="B58" s="70" t="str">
        <f ca="1">IFERROR(HYPERLINK(ml&amp;"!A1",MID(ml,FIND("]",ml)+1,99)&amp;REPT("",50)),"")</f>
        <v/>
      </c>
      <c r="C58" s="67"/>
      <c r="D58" s="68"/>
      <c r="E58" s="68"/>
      <c r="F58" s="68"/>
      <c r="G58" s="68"/>
      <c r="H58" s="68"/>
      <c r="I58" s="68"/>
      <c r="J58" s="68"/>
      <c r="K58" s="68"/>
      <c r="L58" s="68"/>
    </row>
    <row r="59" customHeight="1" spans="1:12">
      <c r="A59" s="59" t="str">
        <f ca="1" t="shared" si="2"/>
        <v/>
      </c>
      <c r="B59" s="70" t="str">
        <f ca="1">IFERROR(HYPERLINK(ml&amp;"!A1",MID(ml,FIND("]",ml)+1,99)&amp;REPT("",50)),"")</f>
        <v/>
      </c>
      <c r="C59" s="67"/>
      <c r="D59" s="68"/>
      <c r="E59" s="68"/>
      <c r="F59" s="68"/>
      <c r="G59" s="68"/>
      <c r="H59" s="68"/>
      <c r="I59" s="68"/>
      <c r="J59" s="68"/>
      <c r="K59" s="68"/>
      <c r="L59" s="68"/>
    </row>
    <row r="60" customHeight="1" spans="1:12">
      <c r="A60" s="59" t="str">
        <f ca="1" t="shared" si="2"/>
        <v/>
      </c>
      <c r="B60" s="70" t="str">
        <f ca="1">IFERROR(HYPERLINK(ml&amp;"!A1",MID(ml,FIND("]",ml)+1,99)&amp;REPT("",50)),"")</f>
        <v/>
      </c>
      <c r="C60" s="67"/>
      <c r="D60" s="68"/>
      <c r="E60" s="68"/>
      <c r="F60" s="68"/>
      <c r="G60" s="68"/>
      <c r="H60" s="68"/>
      <c r="I60" s="68"/>
      <c r="J60" s="68"/>
      <c r="K60" s="68"/>
      <c r="L60" s="68"/>
    </row>
    <row r="61" customHeight="1" spans="1:12">
      <c r="A61" s="59" t="str">
        <f ca="1" t="shared" si="2"/>
        <v/>
      </c>
      <c r="B61" s="70" t="str">
        <f ca="1">IFERROR(HYPERLINK(ml&amp;"!A1",MID(ml,FIND("]",ml)+1,99)&amp;REPT("",50)),"")</f>
        <v/>
      </c>
      <c r="C61" s="67"/>
      <c r="D61" s="68"/>
      <c r="E61" s="68"/>
      <c r="F61" s="68"/>
      <c r="G61" s="68"/>
      <c r="H61" s="68"/>
      <c r="I61" s="68"/>
      <c r="J61" s="68"/>
      <c r="K61" s="68"/>
      <c r="L61" s="68"/>
    </row>
    <row r="62" customHeight="1" spans="1:12">
      <c r="A62" s="59" t="str">
        <f ca="1" t="shared" si="2"/>
        <v/>
      </c>
      <c r="B62" s="70" t="str">
        <f ca="1">IFERROR(HYPERLINK(ml&amp;"!A1",MID(ml,FIND("]",ml)+1,99)&amp;REPT("",50)),"")</f>
        <v/>
      </c>
      <c r="C62" s="67"/>
      <c r="D62" s="68"/>
      <c r="E62" s="68"/>
      <c r="F62" s="68"/>
      <c r="G62" s="68"/>
      <c r="H62" s="68"/>
      <c r="I62" s="68"/>
      <c r="J62" s="68"/>
      <c r="K62" s="68"/>
      <c r="L62" s="68"/>
    </row>
    <row r="63" customHeight="1" spans="1:12">
      <c r="A63" s="59" t="str">
        <f ca="1" t="shared" si="2"/>
        <v/>
      </c>
      <c r="B63" s="70" t="str">
        <f ca="1">IFERROR(HYPERLINK(ml&amp;"!A1",MID(ml,FIND("]",ml)+1,99)&amp;REPT("",50)),"")</f>
        <v/>
      </c>
      <c r="C63" s="67"/>
      <c r="D63" s="68"/>
      <c r="E63" s="68"/>
      <c r="F63" s="68"/>
      <c r="G63" s="68"/>
      <c r="H63" s="68"/>
      <c r="I63" s="68"/>
      <c r="J63" s="68"/>
      <c r="K63" s="68"/>
      <c r="L63" s="68"/>
    </row>
    <row r="64" customHeight="1" spans="1:12">
      <c r="A64" s="59" t="str">
        <f ca="1" t="shared" si="2"/>
        <v/>
      </c>
      <c r="B64" s="70" t="str">
        <f ca="1">IFERROR(HYPERLINK(ml&amp;"!A1",MID(ml,FIND("]",ml)+1,99)&amp;REPT("",50)),"")</f>
        <v/>
      </c>
      <c r="C64" s="67"/>
      <c r="D64" s="68"/>
      <c r="E64" s="68"/>
      <c r="F64" s="68"/>
      <c r="G64" s="68"/>
      <c r="H64" s="68"/>
      <c r="I64" s="68"/>
      <c r="J64" s="68"/>
      <c r="K64" s="68"/>
      <c r="L64" s="68"/>
    </row>
    <row r="65" customHeight="1" spans="1:12">
      <c r="A65" s="59" t="str">
        <f ca="1" t="shared" si="2"/>
        <v/>
      </c>
      <c r="B65" s="70" t="str">
        <f ca="1">IFERROR(HYPERLINK(ml&amp;"!A1",MID(ml,FIND("]",ml)+1,99)&amp;REPT("",50)),"")</f>
        <v/>
      </c>
      <c r="C65" s="67"/>
      <c r="D65" s="68"/>
      <c r="E65" s="68"/>
      <c r="F65" s="68"/>
      <c r="G65" s="68"/>
      <c r="H65" s="68"/>
      <c r="I65" s="68"/>
      <c r="J65" s="68"/>
      <c r="K65" s="68"/>
      <c r="L65" s="68"/>
    </row>
    <row r="66" customHeight="1" spans="1:12">
      <c r="A66" s="59" t="str">
        <f ca="1" t="shared" si="2"/>
        <v/>
      </c>
      <c r="B66" s="70" t="str">
        <f ca="1">IFERROR(HYPERLINK(ml&amp;"!A1",MID(ml,FIND("]",ml)+1,99)&amp;REPT("",50)),"")</f>
        <v/>
      </c>
      <c r="C66" s="67"/>
      <c r="D66" s="68"/>
      <c r="E66" s="68"/>
      <c r="F66" s="68"/>
      <c r="G66" s="68"/>
      <c r="H66" s="68"/>
      <c r="I66" s="68"/>
      <c r="J66" s="68"/>
      <c r="K66" s="68"/>
      <c r="L66" s="68"/>
    </row>
    <row r="67" customHeight="1" spans="1:12">
      <c r="A67" s="59" t="str">
        <f ca="1" t="shared" si="2"/>
        <v/>
      </c>
      <c r="B67" s="70" t="str">
        <f ca="1">IFERROR(HYPERLINK(ml&amp;"!A1",MID(ml,FIND("]",ml)+1,99)&amp;REPT("",50)),"")</f>
        <v/>
      </c>
      <c r="C67" s="67"/>
      <c r="D67" s="68"/>
      <c r="E67" s="68"/>
      <c r="F67" s="68"/>
      <c r="G67" s="68"/>
      <c r="H67" s="68"/>
      <c r="I67" s="68"/>
      <c r="J67" s="68"/>
      <c r="K67" s="68"/>
      <c r="L67" s="68"/>
    </row>
    <row r="68" customHeight="1" spans="1:12">
      <c r="A68" s="59" t="str">
        <f ca="1" t="shared" si="2"/>
        <v/>
      </c>
      <c r="B68" s="70" t="str">
        <f ca="1">IFERROR(HYPERLINK(ml&amp;"!A1",MID(ml,FIND("]",ml)+1,99)&amp;REPT("",50)),"")</f>
        <v/>
      </c>
      <c r="C68" s="67"/>
      <c r="D68" s="68"/>
      <c r="E68" s="68"/>
      <c r="F68" s="68"/>
      <c r="G68" s="68"/>
      <c r="H68" s="68"/>
      <c r="I68" s="68"/>
      <c r="J68" s="68"/>
      <c r="K68" s="68"/>
      <c r="L68" s="68"/>
    </row>
    <row r="69" customHeight="1" spans="1:12">
      <c r="A69" s="59" t="str">
        <f ca="1" t="shared" si="2"/>
        <v/>
      </c>
      <c r="B69" s="70" t="str">
        <f ca="1">IFERROR(HYPERLINK(ml&amp;"!A1",MID(ml,FIND("]",ml)+1,99)&amp;REPT("",50)),"")</f>
        <v/>
      </c>
      <c r="C69" s="67"/>
      <c r="D69" s="68"/>
      <c r="E69" s="68"/>
      <c r="F69" s="68"/>
      <c r="G69" s="68"/>
      <c r="H69" s="68"/>
      <c r="I69" s="68"/>
      <c r="J69" s="68"/>
      <c r="K69" s="68"/>
      <c r="L69" s="68"/>
    </row>
    <row r="70" customHeight="1" spans="1:12">
      <c r="A70" s="59" t="str">
        <f ca="1" t="shared" si="2"/>
        <v/>
      </c>
      <c r="B70" s="70" t="str">
        <f ca="1">IFERROR(HYPERLINK(ml&amp;"!A1",MID(ml,FIND("]",ml)+1,99)&amp;REPT("",50)),"")</f>
        <v/>
      </c>
      <c r="C70" s="67"/>
      <c r="D70" s="68"/>
      <c r="E70" s="68"/>
      <c r="F70" s="68"/>
      <c r="G70" s="68"/>
      <c r="H70" s="68"/>
      <c r="I70" s="68"/>
      <c r="J70" s="68"/>
      <c r="K70" s="68"/>
      <c r="L70" s="68"/>
    </row>
    <row r="71" customHeight="1" spans="1:12">
      <c r="A71" s="59" t="str">
        <f ca="1" t="shared" si="2"/>
        <v/>
      </c>
      <c r="B71" s="70" t="str">
        <f ca="1">IFERROR(HYPERLINK(ml&amp;"!A1",MID(ml,FIND("]",ml)+1,99)&amp;REPT("",50)),"")</f>
        <v/>
      </c>
      <c r="C71" s="67"/>
      <c r="D71" s="68"/>
      <c r="E71" s="68"/>
      <c r="F71" s="68"/>
      <c r="G71" s="68"/>
      <c r="H71" s="68"/>
      <c r="I71" s="68"/>
      <c r="J71" s="68"/>
      <c r="K71" s="68"/>
      <c r="L71" s="68"/>
    </row>
    <row r="72" customHeight="1" spans="1:12">
      <c r="A72" s="59" t="str">
        <f ca="1" t="shared" si="2"/>
        <v/>
      </c>
      <c r="B72" s="70" t="str">
        <f ca="1">IFERROR(HYPERLINK(ml&amp;"!A1",MID(ml,FIND("]",ml)+1,99)&amp;REPT("",50)),"")</f>
        <v/>
      </c>
      <c r="C72" s="67"/>
      <c r="D72" s="68"/>
      <c r="E72" s="68"/>
      <c r="F72" s="68"/>
      <c r="G72" s="68"/>
      <c r="H72" s="68"/>
      <c r="I72" s="68"/>
      <c r="J72" s="68"/>
      <c r="K72" s="68"/>
      <c r="L72" s="68"/>
    </row>
    <row r="73" customHeight="1" spans="1:12">
      <c r="A73" s="59" t="str">
        <f ca="1" t="shared" si="2"/>
        <v/>
      </c>
      <c r="B73" s="70" t="str">
        <f ca="1">IFERROR(HYPERLINK(ml&amp;"!A1",MID(ml,FIND("]",ml)+1,99)&amp;REPT("",50)),"")</f>
        <v/>
      </c>
      <c r="C73" s="67"/>
      <c r="D73" s="68"/>
      <c r="E73" s="68"/>
      <c r="F73" s="68"/>
      <c r="G73" s="68"/>
      <c r="H73" s="68"/>
      <c r="I73" s="68"/>
      <c r="J73" s="68"/>
      <c r="K73" s="68"/>
      <c r="L73" s="68"/>
    </row>
    <row r="74" customHeight="1" spans="1:12">
      <c r="A74" s="59" t="str">
        <f ca="1" t="shared" si="2"/>
        <v/>
      </c>
      <c r="B74" s="70" t="str">
        <f ca="1">IFERROR(HYPERLINK(ml&amp;"!A1",MID(ml,FIND("]",ml)+1,99)&amp;REPT("",50)),"")</f>
        <v/>
      </c>
      <c r="C74" s="67"/>
      <c r="D74" s="68"/>
      <c r="E74" s="68"/>
      <c r="F74" s="68"/>
      <c r="G74" s="68"/>
      <c r="H74" s="68"/>
      <c r="I74" s="68"/>
      <c r="J74" s="68"/>
      <c r="K74" s="68"/>
      <c r="L74" s="68"/>
    </row>
    <row r="75" customHeight="1" spans="1:12">
      <c r="A75" s="59" t="str">
        <f ca="1" t="shared" si="2"/>
        <v/>
      </c>
      <c r="B75" s="70" t="str">
        <f ca="1">IFERROR(HYPERLINK(ml&amp;"!A1",MID(ml,FIND("]",ml)+1,99)&amp;REPT("",50)),"")</f>
        <v/>
      </c>
      <c r="C75" s="67"/>
      <c r="D75" s="68"/>
      <c r="E75" s="68"/>
      <c r="F75" s="68"/>
      <c r="G75" s="68"/>
      <c r="H75" s="68"/>
      <c r="I75" s="68"/>
      <c r="J75" s="68"/>
      <c r="K75" s="68"/>
      <c r="L75" s="68"/>
    </row>
    <row r="76" customHeight="1" spans="1:12">
      <c r="A76" s="59" t="str">
        <f ca="1" t="shared" si="2"/>
        <v/>
      </c>
      <c r="B76" s="70" t="str">
        <f ca="1">IFERROR(HYPERLINK(ml&amp;"!A1",MID(ml,FIND("]",ml)+1,99)&amp;REPT("",50)),"")</f>
        <v/>
      </c>
      <c r="C76" s="67"/>
      <c r="D76" s="68"/>
      <c r="E76" s="68"/>
      <c r="F76" s="68"/>
      <c r="G76" s="68"/>
      <c r="H76" s="68"/>
      <c r="I76" s="68"/>
      <c r="J76" s="68"/>
      <c r="K76" s="68"/>
      <c r="L76" s="68"/>
    </row>
    <row r="77" customHeight="1" spans="1:12">
      <c r="A77" s="59" t="str">
        <f ca="1" t="shared" si="2"/>
        <v/>
      </c>
      <c r="B77" s="70" t="str">
        <f ca="1">IFERROR(HYPERLINK(ml&amp;"!A1",MID(ml,FIND("]",ml)+1,99)&amp;REPT("",50)),"")</f>
        <v/>
      </c>
      <c r="C77" s="67"/>
      <c r="D77" s="68"/>
      <c r="E77" s="68"/>
      <c r="F77" s="68"/>
      <c r="G77" s="68"/>
      <c r="H77" s="68"/>
      <c r="I77" s="68"/>
      <c r="J77" s="68"/>
      <c r="K77" s="68"/>
      <c r="L77" s="68"/>
    </row>
    <row r="78" customHeight="1" spans="1:12">
      <c r="A78" s="59" t="str">
        <f ca="1" t="shared" si="2"/>
        <v/>
      </c>
      <c r="B78" s="70" t="str">
        <f ca="1">IFERROR(HYPERLINK(ml&amp;"!A1",MID(ml,FIND("]",ml)+1,99)&amp;REPT("",50)),"")</f>
        <v/>
      </c>
      <c r="C78" s="67"/>
      <c r="D78" s="68"/>
      <c r="E78" s="68"/>
      <c r="F78" s="68"/>
      <c r="G78" s="68"/>
      <c r="H78" s="68"/>
      <c r="I78" s="68"/>
      <c r="J78" s="68"/>
      <c r="K78" s="68"/>
      <c r="L78" s="68"/>
    </row>
    <row r="79" customHeight="1" spans="1:12">
      <c r="A79" s="59" t="str">
        <f ca="1" t="shared" si="2"/>
        <v/>
      </c>
      <c r="B79" s="70" t="str">
        <f ca="1">IFERROR(HYPERLINK(ml&amp;"!A1",MID(ml,FIND("]",ml)+1,99)&amp;REPT("",50)),"")</f>
        <v/>
      </c>
      <c r="C79" s="67"/>
      <c r="D79" s="68"/>
      <c r="E79" s="68"/>
      <c r="F79" s="68"/>
      <c r="G79" s="68"/>
      <c r="H79" s="68"/>
      <c r="I79" s="68"/>
      <c r="J79" s="68"/>
      <c r="K79" s="68"/>
      <c r="L79" s="68"/>
    </row>
    <row r="80" customHeight="1" spans="1:12">
      <c r="A80" s="59" t="str">
        <f ca="1" t="shared" si="2"/>
        <v/>
      </c>
      <c r="B80" s="70" t="str">
        <f ca="1">IFERROR(HYPERLINK(ml&amp;"!A1",MID(ml,FIND("]",ml)+1,99)&amp;REPT("",50)),"")</f>
        <v/>
      </c>
      <c r="C80" s="67"/>
      <c r="D80" s="68"/>
      <c r="E80" s="68"/>
      <c r="F80" s="68"/>
      <c r="G80" s="68"/>
      <c r="H80" s="68"/>
      <c r="I80" s="68"/>
      <c r="J80" s="68"/>
      <c r="K80" s="68"/>
      <c r="L80" s="68"/>
    </row>
    <row r="81" customHeight="1" spans="1:12">
      <c r="A81" s="59" t="str">
        <f ca="1" t="shared" si="2"/>
        <v/>
      </c>
      <c r="B81" s="70" t="str">
        <f ca="1">IFERROR(HYPERLINK(ml&amp;"!A1",MID(ml,FIND("]",ml)+1,99)&amp;REPT("",50)),"")</f>
        <v/>
      </c>
      <c r="C81" s="67"/>
      <c r="D81" s="68"/>
      <c r="E81" s="68"/>
      <c r="F81" s="68"/>
      <c r="G81" s="68"/>
      <c r="H81" s="68"/>
      <c r="I81" s="68"/>
      <c r="J81" s="68"/>
      <c r="K81" s="68"/>
      <c r="L81" s="68"/>
    </row>
    <row r="82" customHeight="1" spans="1:12">
      <c r="A82" s="59" t="str">
        <f ca="1" t="shared" ref="A82:A113" si="3">IF(B82&lt;&gt;"",ROW()-1,"")</f>
        <v/>
      </c>
      <c r="B82" s="70" t="str">
        <f ca="1">IFERROR(HYPERLINK(ml&amp;"!A1",MID(ml,FIND("]",ml)+1,99)&amp;REPT("",50)),"")</f>
        <v/>
      </c>
      <c r="C82" s="67"/>
      <c r="D82" s="68"/>
      <c r="E82" s="68"/>
      <c r="F82" s="68"/>
      <c r="G82" s="68"/>
      <c r="H82" s="68"/>
      <c r="I82" s="68"/>
      <c r="J82" s="68"/>
      <c r="K82" s="68"/>
      <c r="L82" s="68"/>
    </row>
    <row r="83" customHeight="1" spans="1:12">
      <c r="A83" s="59" t="str">
        <f ca="1" t="shared" si="3"/>
        <v/>
      </c>
      <c r="B83" s="70" t="str">
        <f ca="1">IFERROR(HYPERLINK(ml&amp;"!A1",MID(ml,FIND("]",ml)+1,99)&amp;REPT("",50)),"")</f>
        <v/>
      </c>
      <c r="C83" s="67"/>
      <c r="D83" s="68"/>
      <c r="E83" s="68"/>
      <c r="F83" s="68"/>
      <c r="G83" s="68"/>
      <c r="H83" s="68"/>
      <c r="I83" s="68"/>
      <c r="J83" s="68"/>
      <c r="K83" s="68"/>
      <c r="L83" s="68"/>
    </row>
    <row r="84" customHeight="1" spans="1:12">
      <c r="A84" s="59" t="str">
        <f ca="1" t="shared" si="3"/>
        <v/>
      </c>
      <c r="B84" s="70" t="str">
        <f ca="1">IFERROR(HYPERLINK(ml&amp;"!A1",MID(ml,FIND("]",ml)+1,99)&amp;REPT("",50)),"")</f>
        <v/>
      </c>
      <c r="C84" s="67"/>
      <c r="D84" s="68"/>
      <c r="E84" s="68"/>
      <c r="F84" s="68"/>
      <c r="G84" s="68"/>
      <c r="H84" s="68"/>
      <c r="I84" s="68"/>
      <c r="J84" s="68"/>
      <c r="K84" s="68"/>
      <c r="L84" s="68"/>
    </row>
    <row r="85" customHeight="1" spans="1:12">
      <c r="A85" s="59" t="str">
        <f ca="1" t="shared" si="3"/>
        <v/>
      </c>
      <c r="B85" s="70" t="str">
        <f ca="1">IFERROR(HYPERLINK(ml&amp;"!A1",MID(ml,FIND("]",ml)+1,99)&amp;REPT("",50)),"")</f>
        <v/>
      </c>
      <c r="C85" s="67"/>
      <c r="D85" s="68"/>
      <c r="E85" s="68"/>
      <c r="F85" s="68"/>
      <c r="G85" s="68"/>
      <c r="H85" s="68"/>
      <c r="I85" s="68"/>
      <c r="J85" s="68"/>
      <c r="K85" s="68"/>
      <c r="L85" s="68"/>
    </row>
    <row r="86" customHeight="1" spans="1:12">
      <c r="A86" s="59" t="str">
        <f ca="1" t="shared" si="3"/>
        <v/>
      </c>
      <c r="B86" s="70" t="str">
        <f ca="1">IFERROR(HYPERLINK(ml&amp;"!A1",MID(ml,FIND("]",ml)+1,99)&amp;REPT("",50)),"")</f>
        <v/>
      </c>
      <c r="C86" s="67"/>
      <c r="D86" s="68"/>
      <c r="E86" s="68"/>
      <c r="F86" s="68"/>
      <c r="G86" s="68"/>
      <c r="H86" s="68"/>
      <c r="I86" s="68"/>
      <c r="J86" s="68"/>
      <c r="K86" s="68"/>
      <c r="L86" s="68"/>
    </row>
    <row r="87" customHeight="1" spans="1:12">
      <c r="A87" s="59" t="str">
        <f ca="1" t="shared" si="3"/>
        <v/>
      </c>
      <c r="B87" s="70" t="str">
        <f ca="1">IFERROR(HYPERLINK(ml&amp;"!A1",MID(ml,FIND("]",ml)+1,99)&amp;REPT("",50)),"")</f>
        <v/>
      </c>
      <c r="C87" s="67"/>
      <c r="D87" s="68"/>
      <c r="E87" s="68"/>
      <c r="F87" s="68"/>
      <c r="G87" s="68"/>
      <c r="H87" s="68"/>
      <c r="I87" s="68"/>
      <c r="J87" s="68"/>
      <c r="K87" s="68"/>
      <c r="L87" s="68"/>
    </row>
    <row r="88" customHeight="1" spans="1:12">
      <c r="A88" s="59" t="str">
        <f ca="1" t="shared" si="3"/>
        <v/>
      </c>
      <c r="B88" s="70" t="str">
        <f ca="1">IFERROR(HYPERLINK(ml&amp;"!A1",MID(ml,FIND("]",ml)+1,99)&amp;REPT("",50)),"")</f>
        <v/>
      </c>
      <c r="C88" s="67"/>
      <c r="D88" s="68"/>
      <c r="E88" s="68"/>
      <c r="F88" s="68"/>
      <c r="G88" s="68"/>
      <c r="H88" s="68"/>
      <c r="I88" s="68"/>
      <c r="J88" s="68"/>
      <c r="K88" s="68"/>
      <c r="L88" s="68"/>
    </row>
    <row r="89" customHeight="1" spans="1:12">
      <c r="A89" s="59" t="str">
        <f ca="1" t="shared" si="3"/>
        <v/>
      </c>
      <c r="B89" s="70" t="str">
        <f ca="1">IFERROR(HYPERLINK(ml&amp;"!A1",MID(ml,FIND("]",ml)+1,99)&amp;REPT("",50)),"")</f>
        <v/>
      </c>
      <c r="C89" s="67"/>
      <c r="D89" s="68"/>
      <c r="E89" s="68"/>
      <c r="F89" s="68"/>
      <c r="G89" s="68"/>
      <c r="H89" s="68"/>
      <c r="I89" s="68"/>
      <c r="J89" s="68"/>
      <c r="K89" s="68"/>
      <c r="L89" s="68"/>
    </row>
    <row r="90" customHeight="1" spans="1:12">
      <c r="A90" s="59" t="str">
        <f ca="1" t="shared" si="3"/>
        <v/>
      </c>
      <c r="B90" s="70" t="str">
        <f ca="1">IFERROR(HYPERLINK(ml&amp;"!A1",MID(ml,FIND("]",ml)+1,99)&amp;REPT("",50)),"")</f>
        <v/>
      </c>
      <c r="C90" s="67"/>
      <c r="D90" s="68"/>
      <c r="E90" s="68"/>
      <c r="F90" s="68"/>
      <c r="G90" s="68"/>
      <c r="H90" s="68"/>
      <c r="I90" s="68"/>
      <c r="J90" s="68"/>
      <c r="K90" s="68"/>
      <c r="L90" s="68"/>
    </row>
    <row r="91" customHeight="1" spans="1:12">
      <c r="A91" s="59" t="str">
        <f ca="1" t="shared" si="3"/>
        <v/>
      </c>
      <c r="B91" s="70" t="str">
        <f ca="1">IFERROR(HYPERLINK(ml&amp;"!A1",MID(ml,FIND("]",ml)+1,99)&amp;REPT("",50)),"")</f>
        <v/>
      </c>
      <c r="C91" s="67"/>
      <c r="D91" s="68"/>
      <c r="E91" s="68"/>
      <c r="F91" s="68"/>
      <c r="G91" s="68"/>
      <c r="H91" s="68"/>
      <c r="I91" s="68"/>
      <c r="J91" s="68"/>
      <c r="K91" s="68"/>
      <c r="L91" s="68"/>
    </row>
    <row r="92" customHeight="1" spans="1:12">
      <c r="A92" s="59" t="str">
        <f ca="1" t="shared" si="3"/>
        <v/>
      </c>
      <c r="B92" s="70" t="str">
        <f ca="1">IFERROR(HYPERLINK(ml&amp;"!A1",MID(ml,FIND("]",ml)+1,99)&amp;REPT("",50)),"")</f>
        <v/>
      </c>
      <c r="C92" s="67"/>
      <c r="D92" s="68"/>
      <c r="E92" s="68"/>
      <c r="F92" s="68"/>
      <c r="G92" s="68"/>
      <c r="H92" s="68"/>
      <c r="I92" s="68"/>
      <c r="J92" s="68"/>
      <c r="K92" s="68"/>
      <c r="L92" s="68"/>
    </row>
    <row r="93" customHeight="1" spans="1:12">
      <c r="A93" s="59" t="str">
        <f ca="1" t="shared" si="3"/>
        <v/>
      </c>
      <c r="B93" s="70" t="str">
        <f ca="1">IFERROR(HYPERLINK(ml&amp;"!A1",MID(ml,FIND("]",ml)+1,99)&amp;REPT("",50)),"")</f>
        <v/>
      </c>
      <c r="C93" s="67"/>
      <c r="D93" s="68"/>
      <c r="E93" s="68"/>
      <c r="F93" s="68"/>
      <c r="G93" s="68"/>
      <c r="H93" s="68"/>
      <c r="I93" s="68"/>
      <c r="J93" s="68"/>
      <c r="K93" s="68"/>
      <c r="L93" s="68"/>
    </row>
    <row r="94" customHeight="1" spans="1:12">
      <c r="A94" s="59" t="str">
        <f ca="1" t="shared" si="3"/>
        <v/>
      </c>
      <c r="B94" s="70" t="str">
        <f ca="1">IFERROR(HYPERLINK(ml&amp;"!A1",MID(ml,FIND("]",ml)+1,99)&amp;REPT("",50)),"")</f>
        <v/>
      </c>
      <c r="C94" s="67"/>
      <c r="D94" s="68"/>
      <c r="E94" s="68"/>
      <c r="F94" s="68"/>
      <c r="G94" s="68"/>
      <c r="H94" s="68"/>
      <c r="I94" s="68"/>
      <c r="J94" s="68"/>
      <c r="K94" s="68"/>
      <c r="L94" s="68"/>
    </row>
    <row r="95" customHeight="1" spans="1:12">
      <c r="A95" s="59" t="str">
        <f ca="1" t="shared" si="3"/>
        <v/>
      </c>
      <c r="B95" s="70" t="str">
        <f ca="1">IFERROR(HYPERLINK(ml&amp;"!A1",MID(ml,FIND("]",ml)+1,99)&amp;REPT("",50)),"")</f>
        <v/>
      </c>
      <c r="C95" s="67"/>
      <c r="D95" s="68"/>
      <c r="E95" s="68"/>
      <c r="F95" s="68"/>
      <c r="G95" s="68"/>
      <c r="H95" s="68"/>
      <c r="I95" s="68"/>
      <c r="J95" s="68"/>
      <c r="K95" s="68"/>
      <c r="L95" s="68"/>
    </row>
    <row r="96" customHeight="1" spans="1:12">
      <c r="A96" s="59" t="str">
        <f ca="1" t="shared" si="3"/>
        <v/>
      </c>
      <c r="B96" s="70" t="str">
        <f ca="1">IFERROR(HYPERLINK(ml&amp;"!A1",MID(ml,FIND("]",ml)+1,99)&amp;REPT("",50)),"")</f>
        <v/>
      </c>
      <c r="C96" s="67"/>
      <c r="D96" s="68"/>
      <c r="E96" s="68"/>
      <c r="F96" s="68"/>
      <c r="G96" s="68"/>
      <c r="H96" s="68"/>
      <c r="I96" s="68"/>
      <c r="J96" s="68"/>
      <c r="K96" s="68"/>
      <c r="L96" s="68"/>
    </row>
    <row r="97" customHeight="1" spans="1:12">
      <c r="A97" s="59" t="str">
        <f ca="1" t="shared" si="3"/>
        <v/>
      </c>
      <c r="B97" s="70" t="str">
        <f ca="1">IFERROR(HYPERLINK(ml&amp;"!A1",MID(ml,FIND("]",ml)+1,99)&amp;REPT("",50)),"")</f>
        <v/>
      </c>
      <c r="C97" s="67"/>
      <c r="D97" s="68"/>
      <c r="E97" s="68"/>
      <c r="F97" s="68"/>
      <c r="G97" s="68"/>
      <c r="H97" s="68"/>
      <c r="I97" s="68"/>
      <c r="J97" s="68"/>
      <c r="K97" s="68"/>
      <c r="L97" s="68"/>
    </row>
    <row r="98" customHeight="1" spans="1:12">
      <c r="A98" s="59" t="str">
        <f ca="1" t="shared" si="3"/>
        <v/>
      </c>
      <c r="B98" s="70" t="str">
        <f ca="1">IFERROR(HYPERLINK(ml&amp;"!A1",MID(ml,FIND("]",ml)+1,99)&amp;REPT("",50)),"")</f>
        <v/>
      </c>
      <c r="C98" s="67"/>
      <c r="D98" s="68"/>
      <c r="E98" s="68"/>
      <c r="F98" s="68"/>
      <c r="G98" s="68"/>
      <c r="H98" s="68"/>
      <c r="I98" s="68"/>
      <c r="J98" s="68"/>
      <c r="K98" s="68"/>
      <c r="L98" s="68"/>
    </row>
    <row r="99" customHeight="1" spans="1:12">
      <c r="A99" s="59" t="str">
        <f ca="1" t="shared" si="3"/>
        <v/>
      </c>
      <c r="B99" s="70" t="str">
        <f ca="1">IFERROR(HYPERLINK(ml&amp;"!A1",MID(ml,FIND("]",ml)+1,99)&amp;REPT("",50)),"")</f>
        <v/>
      </c>
      <c r="C99" s="67"/>
      <c r="D99" s="68"/>
      <c r="E99" s="68"/>
      <c r="F99" s="68"/>
      <c r="G99" s="68"/>
      <c r="H99" s="68"/>
      <c r="I99" s="68"/>
      <c r="J99" s="68"/>
      <c r="K99" s="68"/>
      <c r="L99" s="68"/>
    </row>
    <row r="100" customHeight="1" spans="1:12">
      <c r="A100" s="59" t="str">
        <f ca="1" t="shared" si="3"/>
        <v/>
      </c>
      <c r="B100" s="70" t="str">
        <f ca="1">IFERROR(HYPERLINK(ml&amp;"!A1",MID(ml,FIND("]",ml)+1,99)&amp;REPT("",50)),"")</f>
        <v/>
      </c>
      <c r="C100" s="67"/>
      <c r="D100" s="68"/>
      <c r="E100" s="68"/>
      <c r="F100" s="68"/>
      <c r="G100" s="68"/>
      <c r="H100" s="68"/>
      <c r="I100" s="68"/>
      <c r="J100" s="68"/>
      <c r="K100" s="68"/>
      <c r="L100" s="68"/>
    </row>
    <row r="101" customHeight="1" spans="1:12">
      <c r="A101" s="59" t="str">
        <f ca="1" t="shared" si="3"/>
        <v/>
      </c>
      <c r="B101" s="70" t="str">
        <f ca="1">IFERROR(HYPERLINK(ml&amp;"!A1",MID(ml,FIND("]",ml)+1,99)&amp;REPT("",50)),"")</f>
        <v/>
      </c>
      <c r="C101" s="67"/>
      <c r="D101" s="68"/>
      <c r="E101" s="68"/>
      <c r="F101" s="68"/>
      <c r="G101" s="68"/>
      <c r="H101" s="68"/>
      <c r="I101" s="68"/>
      <c r="J101" s="68"/>
      <c r="K101" s="68"/>
      <c r="L101" s="68"/>
    </row>
    <row r="102" customHeight="1" spans="1:12">
      <c r="A102" s="59" t="str">
        <f ca="1" t="shared" si="3"/>
        <v/>
      </c>
      <c r="B102" s="70" t="str">
        <f ca="1">IFERROR(HYPERLINK(ml&amp;"!A1",MID(ml,FIND("]",ml)+1,99)&amp;REPT("",50)),"")</f>
        <v/>
      </c>
      <c r="C102" s="67"/>
      <c r="D102" s="68"/>
      <c r="E102" s="68"/>
      <c r="F102" s="68"/>
      <c r="G102" s="68"/>
      <c r="H102" s="68"/>
      <c r="I102" s="68"/>
      <c r="J102" s="68"/>
      <c r="K102" s="68"/>
      <c r="L102" s="68"/>
    </row>
    <row r="103" customHeight="1" spans="1:12">
      <c r="A103" s="59" t="str">
        <f ca="1" t="shared" si="3"/>
        <v/>
      </c>
      <c r="B103" s="70" t="str">
        <f ca="1">IFERROR(HYPERLINK(ml&amp;"!A1",MID(ml,FIND("]",ml)+1,99)&amp;REPT("",50)),"")</f>
        <v/>
      </c>
      <c r="C103" s="67"/>
      <c r="D103" s="68"/>
      <c r="E103" s="68"/>
      <c r="F103" s="68"/>
      <c r="G103" s="68"/>
      <c r="H103" s="68"/>
      <c r="I103" s="68"/>
      <c r="J103" s="68"/>
      <c r="K103" s="68"/>
      <c r="L103" s="68"/>
    </row>
    <row r="104" customHeight="1" spans="1:12">
      <c r="A104" s="59" t="str">
        <f ca="1" t="shared" si="3"/>
        <v/>
      </c>
      <c r="B104" s="70" t="str">
        <f ca="1">IFERROR(HYPERLINK(ml&amp;"!A1",MID(ml,FIND("]",ml)+1,99)&amp;REPT("",50)),"")</f>
        <v/>
      </c>
      <c r="C104" s="67"/>
      <c r="D104" s="68"/>
      <c r="E104" s="68"/>
      <c r="F104" s="68"/>
      <c r="G104" s="68"/>
      <c r="H104" s="68"/>
      <c r="I104" s="68"/>
      <c r="J104" s="68"/>
      <c r="K104" s="68"/>
      <c r="L104" s="68"/>
    </row>
    <row r="105" customHeight="1" spans="1:12">
      <c r="A105" s="59" t="str">
        <f ca="1" t="shared" si="3"/>
        <v/>
      </c>
      <c r="B105" s="70" t="str">
        <f ca="1">IFERROR(HYPERLINK(ml&amp;"!A1",MID(ml,FIND("]",ml)+1,99)&amp;REPT("",50)),"")</f>
        <v/>
      </c>
      <c r="C105" s="67"/>
      <c r="D105" s="68"/>
      <c r="E105" s="68"/>
      <c r="F105" s="68"/>
      <c r="G105" s="68"/>
      <c r="H105" s="68"/>
      <c r="I105" s="68"/>
      <c r="J105" s="68"/>
      <c r="K105" s="68"/>
      <c r="L105" s="68"/>
    </row>
    <row r="106" customHeight="1" spans="1:12">
      <c r="A106" s="59" t="str">
        <f ca="1" t="shared" si="3"/>
        <v/>
      </c>
      <c r="B106" s="70" t="str">
        <f ca="1">IFERROR(HYPERLINK(ml&amp;"!A1",MID(ml,FIND("]",ml)+1,99)&amp;REPT("",50)),"")</f>
        <v/>
      </c>
      <c r="C106" s="67"/>
      <c r="D106" s="68"/>
      <c r="E106" s="68"/>
      <c r="F106" s="68"/>
      <c r="G106" s="68"/>
      <c r="H106" s="68"/>
      <c r="I106" s="68"/>
      <c r="J106" s="68"/>
      <c r="K106" s="68"/>
      <c r="L106" s="68"/>
    </row>
    <row r="107" customHeight="1" spans="1:12">
      <c r="A107" s="59" t="str">
        <f ca="1" t="shared" si="3"/>
        <v/>
      </c>
      <c r="B107" s="70" t="str">
        <f ca="1">IFERROR(HYPERLINK(ml&amp;"!A1",MID(ml,FIND("]",ml)+1,99)&amp;REPT("",50)),"")</f>
        <v/>
      </c>
      <c r="C107" s="67"/>
      <c r="D107" s="68"/>
      <c r="E107" s="68"/>
      <c r="F107" s="68"/>
      <c r="G107" s="68"/>
      <c r="H107" s="68"/>
      <c r="I107" s="68"/>
      <c r="J107" s="68"/>
      <c r="K107" s="68"/>
      <c r="L107" s="68"/>
    </row>
    <row r="108" customHeight="1" spans="1:12">
      <c r="A108" s="59" t="str">
        <f ca="1" t="shared" si="3"/>
        <v/>
      </c>
      <c r="B108" s="70" t="str">
        <f ca="1">IFERROR(HYPERLINK(ml&amp;"!A1",MID(ml,FIND("]",ml)+1,99)&amp;REPT("",50)),"")</f>
        <v/>
      </c>
      <c r="C108" s="67"/>
      <c r="D108" s="68"/>
      <c r="E108" s="68"/>
      <c r="F108" s="68"/>
      <c r="G108" s="68"/>
      <c r="H108" s="68"/>
      <c r="I108" s="68"/>
      <c r="J108" s="68"/>
      <c r="K108" s="68"/>
      <c r="L108" s="68"/>
    </row>
    <row r="109" customHeight="1" spans="1:12">
      <c r="A109" s="59" t="str">
        <f ca="1" t="shared" si="3"/>
        <v/>
      </c>
      <c r="B109" s="70" t="str">
        <f ca="1">IFERROR(HYPERLINK(ml&amp;"!A1",MID(ml,FIND("]",ml)+1,99)&amp;REPT("",50)),"")</f>
        <v/>
      </c>
      <c r="C109" s="67"/>
      <c r="D109" s="68"/>
      <c r="E109" s="68"/>
      <c r="F109" s="68"/>
      <c r="G109" s="68"/>
      <c r="H109" s="68"/>
      <c r="I109" s="68"/>
      <c r="J109" s="68"/>
      <c r="K109" s="68"/>
      <c r="L109" s="68"/>
    </row>
    <row r="110" customHeight="1" spans="1:12">
      <c r="A110" s="59" t="str">
        <f ca="1" t="shared" si="3"/>
        <v/>
      </c>
      <c r="B110" s="70" t="str">
        <f ca="1">IFERROR(HYPERLINK(ml&amp;"!A1",MID(ml,FIND("]",ml)+1,99)&amp;REPT("",50)),"")</f>
        <v/>
      </c>
      <c r="C110" s="67"/>
      <c r="D110" s="68"/>
      <c r="E110" s="68"/>
      <c r="F110" s="68"/>
      <c r="G110" s="68"/>
      <c r="H110" s="68"/>
      <c r="I110" s="68"/>
      <c r="J110" s="68"/>
      <c r="K110" s="68"/>
      <c r="L110" s="68"/>
    </row>
    <row r="111" customHeight="1" spans="1:12">
      <c r="A111" s="59" t="str">
        <f ca="1" t="shared" si="3"/>
        <v/>
      </c>
      <c r="B111" s="70" t="str">
        <f ca="1">IFERROR(HYPERLINK(ml&amp;"!A1",MID(ml,FIND("]",ml)+1,99)&amp;REPT("",50)),"")</f>
        <v/>
      </c>
      <c r="C111" s="67"/>
      <c r="D111" s="68"/>
      <c r="E111" s="68"/>
      <c r="F111" s="68"/>
      <c r="G111" s="68"/>
      <c r="H111" s="68"/>
      <c r="I111" s="68"/>
      <c r="J111" s="68"/>
      <c r="K111" s="68"/>
      <c r="L111" s="68"/>
    </row>
    <row r="112" customHeight="1" spans="1:12">
      <c r="A112" s="59" t="str">
        <f ca="1" t="shared" si="3"/>
        <v/>
      </c>
      <c r="B112" s="70" t="str">
        <f ca="1">IFERROR(HYPERLINK(ml&amp;"!A1",MID(ml,FIND("]",ml)+1,99)&amp;REPT("",50)),"")</f>
        <v/>
      </c>
      <c r="C112" s="67"/>
      <c r="D112" s="68"/>
      <c r="E112" s="68"/>
      <c r="F112" s="68"/>
      <c r="G112" s="68"/>
      <c r="H112" s="68"/>
      <c r="I112" s="68"/>
      <c r="J112" s="68"/>
      <c r="K112" s="68"/>
      <c r="L112" s="68"/>
    </row>
    <row r="113" customHeight="1" spans="1:12">
      <c r="A113" s="59" t="str">
        <f ca="1" t="shared" si="3"/>
        <v/>
      </c>
      <c r="B113" s="70" t="str">
        <f ca="1">IFERROR(HYPERLINK(ml&amp;"!A1",MID(ml,FIND("]",ml)+1,99)&amp;REPT("",50)),"")</f>
        <v/>
      </c>
      <c r="C113" s="67"/>
      <c r="D113" s="68"/>
      <c r="E113" s="68"/>
      <c r="F113" s="68"/>
      <c r="G113" s="68"/>
      <c r="H113" s="68"/>
      <c r="I113" s="68"/>
      <c r="J113" s="68"/>
      <c r="K113" s="68"/>
      <c r="L113" s="68"/>
    </row>
    <row r="114" customHeight="1" spans="1:12">
      <c r="A114" s="59" t="str">
        <f ca="1" t="shared" ref="A114:A145" si="4">IF(B114&lt;&gt;"",ROW()-1,"")</f>
        <v/>
      </c>
      <c r="B114" s="70" t="str">
        <f ca="1">IFERROR(HYPERLINK(ml&amp;"!A1",MID(ml,FIND("]",ml)+1,99)&amp;REPT("",50)),"")</f>
        <v/>
      </c>
      <c r="C114" s="67"/>
      <c r="D114" s="68"/>
      <c r="E114" s="68"/>
      <c r="F114" s="68"/>
      <c r="G114" s="68"/>
      <c r="H114" s="68"/>
      <c r="I114" s="68"/>
      <c r="J114" s="68"/>
      <c r="K114" s="68"/>
      <c r="L114" s="68"/>
    </row>
    <row r="115" customHeight="1" spans="1:12">
      <c r="A115" s="59" t="str">
        <f ca="1" t="shared" si="4"/>
        <v/>
      </c>
      <c r="B115" s="70" t="str">
        <f ca="1">IFERROR(HYPERLINK(ml&amp;"!A1",MID(ml,FIND("]",ml)+1,99)&amp;REPT("",50)),"")</f>
        <v/>
      </c>
      <c r="C115" s="67"/>
      <c r="D115" s="68"/>
      <c r="E115" s="68"/>
      <c r="F115" s="68"/>
      <c r="G115" s="68"/>
      <c r="H115" s="68"/>
      <c r="I115" s="68"/>
      <c r="J115" s="68"/>
      <c r="K115" s="68"/>
      <c r="L115" s="68"/>
    </row>
    <row r="116" customHeight="1" spans="1:12">
      <c r="A116" s="59" t="str">
        <f ca="1" t="shared" si="4"/>
        <v/>
      </c>
      <c r="B116" s="70" t="str">
        <f ca="1">IFERROR(HYPERLINK(ml&amp;"!A1",MID(ml,FIND("]",ml)+1,99)&amp;REPT("",50)),"")</f>
        <v/>
      </c>
      <c r="C116" s="67"/>
      <c r="D116" s="68"/>
      <c r="E116" s="68"/>
      <c r="F116" s="68"/>
      <c r="G116" s="68"/>
      <c r="H116" s="68"/>
      <c r="I116" s="68"/>
      <c r="J116" s="68"/>
      <c r="K116" s="68"/>
      <c r="L116" s="68"/>
    </row>
    <row r="117" customHeight="1" spans="1:12">
      <c r="A117" s="59" t="str">
        <f ca="1" t="shared" si="4"/>
        <v/>
      </c>
      <c r="B117" s="70" t="str">
        <f ca="1">IFERROR(HYPERLINK(ml&amp;"!A1",MID(ml,FIND("]",ml)+1,99)&amp;REPT("",50)),"")</f>
        <v/>
      </c>
      <c r="C117" s="67"/>
      <c r="D117" s="68"/>
      <c r="E117" s="68"/>
      <c r="F117" s="68"/>
      <c r="G117" s="68"/>
      <c r="H117" s="68"/>
      <c r="I117" s="68"/>
      <c r="J117" s="68"/>
      <c r="K117" s="68"/>
      <c r="L117" s="68"/>
    </row>
    <row r="118" customHeight="1" spans="1:12">
      <c r="A118" s="59" t="str">
        <f ca="1" t="shared" si="4"/>
        <v/>
      </c>
      <c r="B118" s="70" t="str">
        <f ca="1">IFERROR(HYPERLINK(ml&amp;"!A1",MID(ml,FIND("]",ml)+1,99)&amp;REPT("",50)),"")</f>
        <v/>
      </c>
      <c r="C118" s="67"/>
      <c r="D118" s="68"/>
      <c r="E118" s="68"/>
      <c r="F118" s="68"/>
      <c r="G118" s="68"/>
      <c r="H118" s="68"/>
      <c r="I118" s="68"/>
      <c r="J118" s="68"/>
      <c r="K118" s="68"/>
      <c r="L118" s="68"/>
    </row>
    <row r="119" customHeight="1" spans="1:12">
      <c r="A119" s="59" t="str">
        <f ca="1" t="shared" si="4"/>
        <v/>
      </c>
      <c r="B119" s="70" t="str">
        <f ca="1">IFERROR(HYPERLINK(ml&amp;"!A1",MID(ml,FIND("]",ml)+1,99)&amp;REPT("",50)),"")</f>
        <v/>
      </c>
      <c r="C119" s="67"/>
      <c r="D119" s="68"/>
      <c r="E119" s="68"/>
      <c r="F119" s="68"/>
      <c r="G119" s="68"/>
      <c r="H119" s="68"/>
      <c r="I119" s="68"/>
      <c r="J119" s="68"/>
      <c r="K119" s="68"/>
      <c r="L119" s="68"/>
    </row>
    <row r="120" customHeight="1" spans="1:12">
      <c r="A120" s="59" t="str">
        <f ca="1" t="shared" si="4"/>
        <v/>
      </c>
      <c r="B120" s="70" t="str">
        <f ca="1">IFERROR(HYPERLINK(ml&amp;"!A1",MID(ml,FIND("]",ml)+1,99)&amp;REPT("",50)),"")</f>
        <v/>
      </c>
      <c r="C120" s="67"/>
      <c r="D120" s="68"/>
      <c r="E120" s="68"/>
      <c r="F120" s="68"/>
      <c r="G120" s="68"/>
      <c r="H120" s="68"/>
      <c r="I120" s="68"/>
      <c r="J120" s="68"/>
      <c r="K120" s="68"/>
      <c r="L120" s="68"/>
    </row>
    <row r="121" customHeight="1" spans="1:12">
      <c r="A121" s="59" t="str">
        <f ca="1" t="shared" si="4"/>
        <v/>
      </c>
      <c r="B121" s="70" t="str">
        <f ca="1">IFERROR(HYPERLINK(ml&amp;"!A1",MID(ml,FIND("]",ml)+1,99)&amp;REPT("",50)),"")</f>
        <v/>
      </c>
      <c r="C121" s="67"/>
      <c r="D121" s="68"/>
      <c r="E121" s="68"/>
      <c r="F121" s="68"/>
      <c r="G121" s="68"/>
      <c r="H121" s="68"/>
      <c r="I121" s="68"/>
      <c r="J121" s="68"/>
      <c r="K121" s="68"/>
      <c r="L121" s="68"/>
    </row>
    <row r="122" customHeight="1" spans="1:12">
      <c r="A122" s="59" t="str">
        <f ca="1" t="shared" si="4"/>
        <v/>
      </c>
      <c r="B122" s="70" t="str">
        <f ca="1">IFERROR(HYPERLINK(ml&amp;"!A1",MID(ml,FIND("]",ml)+1,99)&amp;REPT("",50)),"")</f>
        <v/>
      </c>
      <c r="C122" s="67"/>
      <c r="D122" s="68"/>
      <c r="E122" s="68"/>
      <c r="F122" s="68"/>
      <c r="G122" s="68"/>
      <c r="H122" s="68"/>
      <c r="I122" s="68"/>
      <c r="J122" s="68"/>
      <c r="K122" s="68"/>
      <c r="L122" s="68"/>
    </row>
    <row r="123" customHeight="1" spans="1:12">
      <c r="A123" s="59" t="str">
        <f ca="1" t="shared" si="4"/>
        <v/>
      </c>
      <c r="B123" s="70" t="str">
        <f ca="1">IFERROR(HYPERLINK(ml&amp;"!A1",MID(ml,FIND("]",ml)+1,99)&amp;REPT("",50)),"")</f>
        <v/>
      </c>
      <c r="C123" s="67"/>
      <c r="D123" s="68"/>
      <c r="E123" s="68"/>
      <c r="F123" s="68"/>
      <c r="G123" s="68"/>
      <c r="H123" s="68"/>
      <c r="I123" s="68"/>
      <c r="J123" s="68"/>
      <c r="K123" s="68"/>
      <c r="L123" s="68"/>
    </row>
    <row r="124" customHeight="1" spans="1:12">
      <c r="A124" s="59" t="str">
        <f ca="1" t="shared" si="4"/>
        <v/>
      </c>
      <c r="B124" s="70" t="str">
        <f ca="1">IFERROR(HYPERLINK(ml&amp;"!A1",MID(ml,FIND("]",ml)+1,99)&amp;REPT("",50)),"")</f>
        <v/>
      </c>
      <c r="C124" s="67"/>
      <c r="D124" s="68"/>
      <c r="E124" s="68"/>
      <c r="F124" s="68"/>
      <c r="G124" s="68"/>
      <c r="H124" s="68"/>
      <c r="I124" s="68"/>
      <c r="J124" s="68"/>
      <c r="K124" s="68"/>
      <c r="L124" s="68"/>
    </row>
    <row r="125" customHeight="1" spans="1:12">
      <c r="A125" s="59" t="str">
        <f ca="1" t="shared" si="4"/>
        <v/>
      </c>
      <c r="B125" s="70" t="str">
        <f ca="1">IFERROR(HYPERLINK(ml&amp;"!A1",MID(ml,FIND("]",ml)+1,99)&amp;REPT("",50)),"")</f>
        <v/>
      </c>
      <c r="C125" s="67"/>
      <c r="D125" s="68"/>
      <c r="E125" s="68"/>
      <c r="F125" s="68"/>
      <c r="G125" s="68"/>
      <c r="H125" s="68"/>
      <c r="I125" s="68"/>
      <c r="J125" s="68"/>
      <c r="K125" s="68"/>
      <c r="L125" s="68"/>
    </row>
    <row r="126" customHeight="1" spans="1:12">
      <c r="A126" s="59" t="str">
        <f ca="1" t="shared" si="4"/>
        <v/>
      </c>
      <c r="B126" s="70" t="str">
        <f ca="1">IFERROR(HYPERLINK(ml&amp;"!A1",MID(ml,FIND("]",ml)+1,99)&amp;REPT("",50)),"")</f>
        <v/>
      </c>
      <c r="C126" s="67"/>
      <c r="D126" s="68"/>
      <c r="E126" s="68"/>
      <c r="F126" s="68"/>
      <c r="G126" s="68"/>
      <c r="H126" s="68"/>
      <c r="I126" s="68"/>
      <c r="J126" s="68"/>
      <c r="K126" s="68"/>
      <c r="L126" s="68"/>
    </row>
    <row r="127" customHeight="1" spans="1:12">
      <c r="A127" s="59" t="str">
        <f ca="1" t="shared" si="4"/>
        <v/>
      </c>
      <c r="B127" s="70" t="str">
        <f ca="1">IFERROR(HYPERLINK(ml&amp;"!A1",MID(ml,FIND("]",ml)+1,99)&amp;REPT("",50)),"")</f>
        <v/>
      </c>
      <c r="C127" s="67"/>
      <c r="D127" s="68"/>
      <c r="E127" s="68"/>
      <c r="F127" s="68"/>
      <c r="G127" s="68"/>
      <c r="H127" s="68"/>
      <c r="I127" s="68"/>
      <c r="J127" s="68"/>
      <c r="K127" s="68"/>
      <c r="L127" s="68"/>
    </row>
    <row r="128" customHeight="1" spans="1:12">
      <c r="A128" s="59" t="str">
        <f ca="1" t="shared" si="4"/>
        <v/>
      </c>
      <c r="B128" s="70" t="str">
        <f ca="1">IFERROR(HYPERLINK(ml&amp;"!A1",MID(ml,FIND("]",ml)+1,99)&amp;REPT("",50)),"")</f>
        <v/>
      </c>
      <c r="C128" s="67"/>
      <c r="D128" s="68"/>
      <c r="E128" s="68"/>
      <c r="F128" s="68"/>
      <c r="G128" s="68"/>
      <c r="H128" s="68"/>
      <c r="I128" s="68"/>
      <c r="J128" s="68"/>
      <c r="K128" s="68"/>
      <c r="L128" s="68"/>
    </row>
    <row r="129" customHeight="1" spans="1:12">
      <c r="A129" s="59" t="str">
        <f ca="1" t="shared" si="4"/>
        <v/>
      </c>
      <c r="B129" s="70" t="str">
        <f ca="1">IFERROR(HYPERLINK(ml&amp;"!A1",MID(ml,FIND("]",ml)+1,99)&amp;REPT("",50)),"")</f>
        <v/>
      </c>
      <c r="C129" s="67"/>
      <c r="D129" s="68"/>
      <c r="E129" s="68"/>
      <c r="F129" s="68"/>
      <c r="G129" s="68"/>
      <c r="H129" s="68"/>
      <c r="I129" s="68"/>
      <c r="J129" s="68"/>
      <c r="K129" s="68"/>
      <c r="L129" s="68"/>
    </row>
    <row r="130" customHeight="1" spans="1:12">
      <c r="A130" s="59" t="str">
        <f ca="1" t="shared" si="4"/>
        <v/>
      </c>
      <c r="B130" s="70" t="str">
        <f ca="1">IFERROR(HYPERLINK(ml&amp;"!A1",MID(ml,FIND("]",ml)+1,99)&amp;REPT("",50)),"")</f>
        <v/>
      </c>
      <c r="C130" s="67"/>
      <c r="D130" s="68"/>
      <c r="E130" s="68"/>
      <c r="F130" s="68"/>
      <c r="G130" s="68"/>
      <c r="H130" s="68"/>
      <c r="I130" s="68"/>
      <c r="J130" s="68"/>
      <c r="K130" s="68"/>
      <c r="L130" s="68"/>
    </row>
    <row r="131" customHeight="1" spans="1:12">
      <c r="A131" s="59" t="str">
        <f ca="1" t="shared" si="4"/>
        <v/>
      </c>
      <c r="B131" s="70" t="str">
        <f ca="1">IFERROR(HYPERLINK(ml&amp;"!A1",MID(ml,FIND("]",ml)+1,99)&amp;REPT("",50)),"")</f>
        <v/>
      </c>
      <c r="C131" s="67"/>
      <c r="D131" s="68"/>
      <c r="E131" s="68"/>
      <c r="F131" s="68"/>
      <c r="G131" s="68"/>
      <c r="H131" s="68"/>
      <c r="I131" s="68"/>
      <c r="J131" s="68"/>
      <c r="K131" s="68"/>
      <c r="L131" s="68"/>
    </row>
    <row r="132" customHeight="1" spans="1:12">
      <c r="A132" s="59" t="str">
        <f ca="1" t="shared" si="4"/>
        <v/>
      </c>
      <c r="B132" s="70" t="str">
        <f ca="1">IFERROR(HYPERLINK(ml&amp;"!A1",MID(ml,FIND("]",ml)+1,99)&amp;REPT("",50)),"")</f>
        <v/>
      </c>
      <c r="C132" s="67"/>
      <c r="D132" s="68"/>
      <c r="E132" s="68"/>
      <c r="F132" s="68"/>
      <c r="G132" s="68"/>
      <c r="H132" s="68"/>
      <c r="I132" s="68"/>
      <c r="J132" s="68"/>
      <c r="K132" s="68"/>
      <c r="L132" s="68"/>
    </row>
    <row r="133" customHeight="1" spans="1:12">
      <c r="A133" s="59" t="str">
        <f ca="1" t="shared" si="4"/>
        <v/>
      </c>
      <c r="B133" s="70" t="str">
        <f ca="1">IFERROR(HYPERLINK(ml&amp;"!A1",MID(ml,FIND("]",ml)+1,99)&amp;REPT("",50)),"")</f>
        <v/>
      </c>
      <c r="C133" s="67"/>
      <c r="D133" s="68"/>
      <c r="E133" s="68"/>
      <c r="F133" s="68"/>
      <c r="G133" s="68"/>
      <c r="H133" s="68"/>
      <c r="I133" s="68"/>
      <c r="J133" s="68"/>
      <c r="K133" s="68"/>
      <c r="L133" s="68"/>
    </row>
    <row r="134" customHeight="1" spans="1:12">
      <c r="A134" s="59" t="str">
        <f ca="1" t="shared" si="4"/>
        <v/>
      </c>
      <c r="B134" s="70" t="str">
        <f ca="1">IFERROR(HYPERLINK(ml&amp;"!A1",MID(ml,FIND("]",ml)+1,99)&amp;REPT("",50)),"")</f>
        <v/>
      </c>
      <c r="C134" s="67"/>
      <c r="D134" s="68"/>
      <c r="E134" s="68"/>
      <c r="F134" s="68"/>
      <c r="G134" s="68"/>
      <c r="H134" s="68"/>
      <c r="I134" s="68"/>
      <c r="J134" s="68"/>
      <c r="K134" s="68"/>
      <c r="L134" s="68"/>
    </row>
    <row r="135" customHeight="1" spans="1:12">
      <c r="A135" s="59" t="str">
        <f ca="1" t="shared" si="4"/>
        <v/>
      </c>
      <c r="B135" s="70" t="str">
        <f ca="1">IFERROR(HYPERLINK(ml&amp;"!A1",MID(ml,FIND("]",ml)+1,99)&amp;REPT("",50)),"")</f>
        <v/>
      </c>
      <c r="C135" s="67"/>
      <c r="D135" s="68"/>
      <c r="E135" s="68"/>
      <c r="F135" s="68"/>
      <c r="G135" s="68"/>
      <c r="H135" s="68"/>
      <c r="I135" s="68"/>
      <c r="J135" s="68"/>
      <c r="K135" s="68"/>
      <c r="L135" s="68"/>
    </row>
    <row r="136" customHeight="1" spans="1:12">
      <c r="A136" s="59" t="str">
        <f ca="1" t="shared" si="4"/>
        <v/>
      </c>
      <c r="B136" s="70" t="str">
        <f ca="1">IFERROR(HYPERLINK(ml&amp;"!A1",MID(ml,FIND("]",ml)+1,99)&amp;REPT("",50)),"")</f>
        <v/>
      </c>
      <c r="C136" s="67"/>
      <c r="D136" s="68"/>
      <c r="E136" s="68"/>
      <c r="F136" s="68"/>
      <c r="G136" s="68"/>
      <c r="H136" s="68"/>
      <c r="I136" s="68"/>
      <c r="J136" s="68"/>
      <c r="K136" s="68"/>
      <c r="L136" s="68"/>
    </row>
    <row r="137" customHeight="1" spans="1:12">
      <c r="A137" s="59" t="str">
        <f ca="1" t="shared" si="4"/>
        <v/>
      </c>
      <c r="B137" s="70" t="str">
        <f ca="1">IFERROR(HYPERLINK(ml&amp;"!A1",MID(ml,FIND("]",ml)+1,99)&amp;REPT("",50)),"")</f>
        <v/>
      </c>
      <c r="C137" s="67"/>
      <c r="D137" s="68"/>
      <c r="E137" s="68"/>
      <c r="F137" s="68"/>
      <c r="G137" s="68"/>
      <c r="H137" s="68"/>
      <c r="I137" s="68"/>
      <c r="J137" s="68"/>
      <c r="K137" s="68"/>
      <c r="L137" s="68"/>
    </row>
    <row r="138" customHeight="1" spans="1:12">
      <c r="A138" s="59" t="str">
        <f ca="1" t="shared" si="4"/>
        <v/>
      </c>
      <c r="B138" s="70" t="str">
        <f ca="1">IFERROR(HYPERLINK(ml&amp;"!A1",MID(ml,FIND("]",ml)+1,99)&amp;REPT("",50)),"")</f>
        <v/>
      </c>
      <c r="C138" s="67"/>
      <c r="D138" s="68"/>
      <c r="E138" s="68"/>
      <c r="F138" s="68"/>
      <c r="G138" s="68"/>
      <c r="H138" s="68"/>
      <c r="I138" s="68"/>
      <c r="J138" s="68"/>
      <c r="K138" s="68"/>
      <c r="L138" s="68"/>
    </row>
    <row r="139" customHeight="1" spans="1:12">
      <c r="A139" s="59" t="str">
        <f ca="1" t="shared" si="4"/>
        <v/>
      </c>
      <c r="B139" s="70" t="str">
        <f ca="1">IFERROR(HYPERLINK(ml&amp;"!A1",MID(ml,FIND("]",ml)+1,99)&amp;REPT("",50)),"")</f>
        <v/>
      </c>
      <c r="C139" s="67"/>
      <c r="D139" s="68"/>
      <c r="E139" s="68"/>
      <c r="F139" s="68"/>
      <c r="G139" s="68"/>
      <c r="H139" s="68"/>
      <c r="I139" s="68"/>
      <c r="J139" s="68"/>
      <c r="K139" s="68"/>
      <c r="L139" s="68"/>
    </row>
    <row r="140" customHeight="1" spans="1:12">
      <c r="A140" s="59" t="str">
        <f ca="1" t="shared" si="4"/>
        <v/>
      </c>
      <c r="B140" s="70" t="str">
        <f ca="1">IFERROR(HYPERLINK(ml&amp;"!A1",MID(ml,FIND("]",ml)+1,99)&amp;REPT("",50)),"")</f>
        <v/>
      </c>
      <c r="C140" s="67"/>
      <c r="D140" s="68"/>
      <c r="E140" s="68"/>
      <c r="F140" s="68"/>
      <c r="G140" s="68"/>
      <c r="H140" s="68"/>
      <c r="I140" s="68"/>
      <c r="J140" s="68"/>
      <c r="K140" s="68"/>
      <c r="L140" s="68"/>
    </row>
    <row r="141" customHeight="1" spans="1:12">
      <c r="A141" s="59" t="str">
        <f ca="1" t="shared" si="4"/>
        <v/>
      </c>
      <c r="B141" s="70" t="str">
        <f ca="1">IFERROR(HYPERLINK(ml&amp;"!A1",MID(ml,FIND("]",ml)+1,99)&amp;REPT("",50)),"")</f>
        <v/>
      </c>
      <c r="C141" s="67"/>
      <c r="D141" s="68"/>
      <c r="E141" s="68"/>
      <c r="F141" s="68"/>
      <c r="G141" s="68"/>
      <c r="H141" s="68"/>
      <c r="I141" s="68"/>
      <c r="J141" s="68"/>
      <c r="K141" s="68"/>
      <c r="L141" s="68"/>
    </row>
    <row r="142" customHeight="1" spans="1:12">
      <c r="A142" s="59" t="str">
        <f ca="1" t="shared" si="4"/>
        <v/>
      </c>
      <c r="B142" s="70" t="str">
        <f ca="1">IFERROR(HYPERLINK(ml&amp;"!A1",MID(ml,FIND("]",ml)+1,99)&amp;REPT("",50)),"")</f>
        <v/>
      </c>
      <c r="C142" s="67"/>
      <c r="D142" s="68"/>
      <c r="E142" s="68"/>
      <c r="F142" s="68"/>
      <c r="G142" s="68"/>
      <c r="H142" s="68"/>
      <c r="I142" s="68"/>
      <c r="J142" s="68"/>
      <c r="K142" s="68"/>
      <c r="L142" s="68"/>
    </row>
    <row r="143" customHeight="1" spans="1:12">
      <c r="A143" s="59" t="str">
        <f ca="1" t="shared" si="4"/>
        <v/>
      </c>
      <c r="B143" s="70" t="str">
        <f ca="1">IFERROR(HYPERLINK(ml&amp;"!A1",MID(ml,FIND("]",ml)+1,99)&amp;REPT("",50)),"")</f>
        <v/>
      </c>
      <c r="C143" s="67"/>
      <c r="D143" s="68"/>
      <c r="E143" s="68"/>
      <c r="F143" s="68"/>
      <c r="G143" s="68"/>
      <c r="H143" s="68"/>
      <c r="I143" s="68"/>
      <c r="J143" s="68"/>
      <c r="K143" s="68"/>
      <c r="L143" s="68"/>
    </row>
    <row r="144" customHeight="1" spans="1:12">
      <c r="A144" s="59" t="str">
        <f ca="1" t="shared" si="4"/>
        <v/>
      </c>
      <c r="B144" s="70" t="str">
        <f ca="1">IFERROR(HYPERLINK(ml&amp;"!A1",MID(ml,FIND("]",ml)+1,99)&amp;REPT("",50)),"")</f>
        <v/>
      </c>
      <c r="C144" s="67"/>
      <c r="D144" s="68"/>
      <c r="E144" s="68"/>
      <c r="F144" s="68"/>
      <c r="G144" s="68"/>
      <c r="H144" s="68"/>
      <c r="I144" s="68"/>
      <c r="J144" s="68"/>
      <c r="K144" s="68"/>
      <c r="L144" s="68"/>
    </row>
    <row r="145" customHeight="1" spans="1:12">
      <c r="A145" s="59" t="str">
        <f ca="1" t="shared" si="4"/>
        <v/>
      </c>
      <c r="B145" s="70" t="str">
        <f ca="1">IFERROR(HYPERLINK(ml&amp;"!A1",MID(ml,FIND("]",ml)+1,99)&amp;REPT("",50)),"")</f>
        <v/>
      </c>
      <c r="C145" s="67"/>
      <c r="D145" s="68"/>
      <c r="E145" s="68"/>
      <c r="F145" s="68"/>
      <c r="G145" s="68"/>
      <c r="H145" s="68"/>
      <c r="I145" s="68"/>
      <c r="J145" s="68"/>
      <c r="K145" s="68"/>
      <c r="L145" s="68"/>
    </row>
    <row r="146" customHeight="1" spans="1:12">
      <c r="A146" s="59" t="str">
        <f ca="1" t="shared" ref="A146:A177" si="5">IF(B146&lt;&gt;"",ROW()-1,"")</f>
        <v/>
      </c>
      <c r="B146" s="70" t="str">
        <f ca="1">IFERROR(HYPERLINK(ml&amp;"!A1",MID(ml,FIND("]",ml)+1,99)&amp;REPT("",50)),"")</f>
        <v/>
      </c>
      <c r="C146" s="67"/>
      <c r="D146" s="68"/>
      <c r="E146" s="68"/>
      <c r="F146" s="68"/>
      <c r="G146" s="68"/>
      <c r="H146" s="68"/>
      <c r="I146" s="68"/>
      <c r="J146" s="68"/>
      <c r="K146" s="68"/>
      <c r="L146" s="68"/>
    </row>
    <row r="147" customHeight="1" spans="1:12">
      <c r="A147" s="59" t="str">
        <f ca="1" t="shared" si="5"/>
        <v/>
      </c>
      <c r="B147" s="70" t="str">
        <f ca="1">IFERROR(HYPERLINK(ml&amp;"!A1",MID(ml,FIND("]",ml)+1,99)&amp;REPT("",50)),"")</f>
        <v/>
      </c>
      <c r="C147" s="67"/>
      <c r="D147" s="68"/>
      <c r="E147" s="68"/>
      <c r="F147" s="68"/>
      <c r="G147" s="68"/>
      <c r="H147" s="68"/>
      <c r="I147" s="68"/>
      <c r="J147" s="68"/>
      <c r="K147" s="68"/>
      <c r="L147" s="68"/>
    </row>
    <row r="148" customHeight="1" spans="1:12">
      <c r="A148" s="59" t="str">
        <f ca="1" t="shared" si="5"/>
        <v/>
      </c>
      <c r="B148" s="70" t="str">
        <f ca="1">IFERROR(HYPERLINK(ml&amp;"!A1",MID(ml,FIND("]",ml)+1,99)&amp;REPT("",50)),"")</f>
        <v/>
      </c>
      <c r="C148" s="67"/>
      <c r="D148" s="68"/>
      <c r="E148" s="68"/>
      <c r="F148" s="68"/>
      <c r="G148" s="68"/>
      <c r="H148" s="68"/>
      <c r="I148" s="68"/>
      <c r="J148" s="68"/>
      <c r="K148" s="68"/>
      <c r="L148" s="68"/>
    </row>
    <row r="149" customHeight="1" spans="1:12">
      <c r="A149" s="59" t="str">
        <f ca="1" t="shared" si="5"/>
        <v/>
      </c>
      <c r="B149" s="70" t="str">
        <f ca="1">IFERROR(HYPERLINK(ml&amp;"!A1",MID(ml,FIND("]",ml)+1,99)&amp;REPT("",50)),"")</f>
        <v/>
      </c>
      <c r="C149" s="67"/>
      <c r="D149" s="68"/>
      <c r="E149" s="68"/>
      <c r="F149" s="68"/>
      <c r="G149" s="68"/>
      <c r="H149" s="68"/>
      <c r="I149" s="68"/>
      <c r="J149" s="68"/>
      <c r="K149" s="68"/>
      <c r="L149" s="68"/>
    </row>
    <row r="150" customHeight="1" spans="1:12">
      <c r="A150" s="59" t="str">
        <f ca="1" t="shared" si="5"/>
        <v/>
      </c>
      <c r="B150" s="70" t="str">
        <f ca="1">IFERROR(HYPERLINK(ml&amp;"!A1",MID(ml,FIND("]",ml)+1,99)&amp;REPT("",50)),"")</f>
        <v/>
      </c>
      <c r="C150" s="67"/>
      <c r="D150" s="68"/>
      <c r="E150" s="68"/>
      <c r="F150" s="68"/>
      <c r="G150" s="68"/>
      <c r="H150" s="68"/>
      <c r="I150" s="68"/>
      <c r="J150" s="68"/>
      <c r="K150" s="68"/>
      <c r="L150" s="68"/>
    </row>
    <row r="151" customHeight="1" spans="1:12">
      <c r="A151" s="59" t="str">
        <f ca="1" t="shared" si="5"/>
        <v/>
      </c>
      <c r="B151" s="70" t="str">
        <f ca="1">IFERROR(HYPERLINK(ml&amp;"!A1",MID(ml,FIND("]",ml)+1,99)&amp;REPT("",50)),"")</f>
        <v/>
      </c>
      <c r="C151" s="67"/>
      <c r="D151" s="68"/>
      <c r="E151" s="68"/>
      <c r="F151" s="68"/>
      <c r="G151" s="68"/>
      <c r="H151" s="68"/>
      <c r="I151" s="68"/>
      <c r="J151" s="68"/>
      <c r="K151" s="68"/>
      <c r="L151" s="68"/>
    </row>
    <row r="152" customHeight="1" spans="1:12">
      <c r="A152" s="59" t="str">
        <f ca="1" t="shared" si="5"/>
        <v/>
      </c>
      <c r="B152" s="70" t="str">
        <f ca="1">IFERROR(HYPERLINK(ml&amp;"!A1",MID(ml,FIND("]",ml)+1,99)&amp;REPT("",50)),"")</f>
        <v/>
      </c>
      <c r="C152" s="67"/>
      <c r="D152" s="68"/>
      <c r="E152" s="68"/>
      <c r="F152" s="68"/>
      <c r="G152" s="68"/>
      <c r="H152" s="68"/>
      <c r="I152" s="68"/>
      <c r="J152" s="68"/>
      <c r="K152" s="68"/>
      <c r="L152" s="68"/>
    </row>
    <row r="153" customHeight="1" spans="1:12">
      <c r="A153" s="59" t="str">
        <f ca="1" t="shared" si="5"/>
        <v/>
      </c>
      <c r="B153" s="70" t="str">
        <f ca="1">IFERROR(HYPERLINK(ml&amp;"!A1",MID(ml,FIND("]",ml)+1,99)&amp;REPT("",50)),"")</f>
        <v/>
      </c>
      <c r="C153" s="67"/>
      <c r="D153" s="68"/>
      <c r="E153" s="68"/>
      <c r="F153" s="68"/>
      <c r="G153" s="68"/>
      <c r="H153" s="68"/>
      <c r="I153" s="68"/>
      <c r="J153" s="68"/>
      <c r="K153" s="68"/>
      <c r="L153" s="68"/>
    </row>
    <row r="154" customHeight="1" spans="1:12">
      <c r="A154" s="59" t="str">
        <f ca="1" t="shared" si="5"/>
        <v/>
      </c>
      <c r="B154" s="70" t="str">
        <f ca="1">IFERROR(HYPERLINK(ml&amp;"!A1",MID(ml,FIND("]",ml)+1,99)&amp;REPT("",50)),"")</f>
        <v/>
      </c>
      <c r="C154" s="67"/>
      <c r="D154" s="68"/>
      <c r="E154" s="68"/>
      <c r="F154" s="68"/>
      <c r="G154" s="68"/>
      <c r="H154" s="68"/>
      <c r="I154" s="68"/>
      <c r="J154" s="68"/>
      <c r="K154" s="68"/>
      <c r="L154" s="68"/>
    </row>
    <row r="155" customHeight="1" spans="1:12">
      <c r="A155" s="59" t="str">
        <f ca="1" t="shared" si="5"/>
        <v/>
      </c>
      <c r="B155" s="70" t="str">
        <f ca="1">IFERROR(HYPERLINK(ml&amp;"!A1",MID(ml,FIND("]",ml)+1,99)&amp;REPT("",50)),"")</f>
        <v/>
      </c>
      <c r="C155" s="67"/>
      <c r="D155" s="68"/>
      <c r="E155" s="68"/>
      <c r="F155" s="68"/>
      <c r="G155" s="68"/>
      <c r="H155" s="68"/>
      <c r="I155" s="68"/>
      <c r="J155" s="68"/>
      <c r="K155" s="68"/>
      <c r="L155" s="68"/>
    </row>
    <row r="156" customHeight="1" spans="1:12">
      <c r="A156" s="59" t="str">
        <f ca="1" t="shared" si="5"/>
        <v/>
      </c>
      <c r="B156" s="70" t="str">
        <f ca="1">IFERROR(HYPERLINK(ml&amp;"!A1",MID(ml,FIND("]",ml)+1,99)&amp;REPT("",50)),"")</f>
        <v/>
      </c>
      <c r="C156" s="67"/>
      <c r="D156" s="68"/>
      <c r="E156" s="68"/>
      <c r="F156" s="68"/>
      <c r="G156" s="68"/>
      <c r="H156" s="68"/>
      <c r="I156" s="68"/>
      <c r="J156" s="68"/>
      <c r="K156" s="68"/>
      <c r="L156" s="68"/>
    </row>
    <row r="157" customHeight="1" spans="1:12">
      <c r="A157" s="59" t="str">
        <f ca="1" t="shared" si="5"/>
        <v/>
      </c>
      <c r="B157" s="70" t="str">
        <f ca="1">IFERROR(HYPERLINK(ml&amp;"!A1",MID(ml,FIND("]",ml)+1,99)&amp;REPT("",50)),"")</f>
        <v/>
      </c>
      <c r="C157" s="67"/>
      <c r="D157" s="68"/>
      <c r="E157" s="68"/>
      <c r="F157" s="68"/>
      <c r="G157" s="68"/>
      <c r="H157" s="68"/>
      <c r="I157" s="68"/>
      <c r="J157" s="68"/>
      <c r="K157" s="68"/>
      <c r="L157" s="68"/>
    </row>
    <row r="158" customHeight="1" spans="1:12">
      <c r="A158" s="59" t="str">
        <f ca="1" t="shared" si="5"/>
        <v/>
      </c>
      <c r="B158" s="70" t="str">
        <f ca="1">IFERROR(HYPERLINK(ml&amp;"!A1",MID(ml,FIND("]",ml)+1,99)&amp;REPT("",50)),"")</f>
        <v/>
      </c>
      <c r="C158" s="67"/>
      <c r="D158" s="68"/>
      <c r="E158" s="68"/>
      <c r="F158" s="68"/>
      <c r="G158" s="68"/>
      <c r="H158" s="68"/>
      <c r="I158" s="68"/>
      <c r="J158" s="68"/>
      <c r="K158" s="68"/>
      <c r="L158" s="68"/>
    </row>
    <row r="159" customHeight="1" spans="1:12">
      <c r="A159" s="59" t="str">
        <f ca="1" t="shared" si="5"/>
        <v/>
      </c>
      <c r="B159" s="70" t="str">
        <f ca="1">IFERROR(HYPERLINK(ml&amp;"!A1",MID(ml,FIND("]",ml)+1,99)&amp;REPT("",50)),"")</f>
        <v/>
      </c>
      <c r="C159" s="67"/>
      <c r="D159" s="68"/>
      <c r="E159" s="68"/>
      <c r="F159" s="68"/>
      <c r="G159" s="68"/>
      <c r="H159" s="68"/>
      <c r="I159" s="68"/>
      <c r="J159" s="68"/>
      <c r="K159" s="68"/>
      <c r="L159" s="68"/>
    </row>
    <row r="160" customHeight="1" spans="1:12">
      <c r="A160" s="59" t="str">
        <f ca="1" t="shared" si="5"/>
        <v/>
      </c>
      <c r="B160" s="70" t="str">
        <f ca="1">IFERROR(HYPERLINK(ml&amp;"!A1",MID(ml,FIND("]",ml)+1,99)&amp;REPT("",50)),"")</f>
        <v/>
      </c>
      <c r="C160" s="67"/>
      <c r="D160" s="68"/>
      <c r="E160" s="68"/>
      <c r="F160" s="68"/>
      <c r="G160" s="68"/>
      <c r="H160" s="68"/>
      <c r="I160" s="68"/>
      <c r="J160" s="68"/>
      <c r="K160" s="68"/>
      <c r="L160" s="68"/>
    </row>
    <row r="161" customHeight="1" spans="1:12">
      <c r="A161" s="59" t="str">
        <f ca="1" t="shared" si="5"/>
        <v/>
      </c>
      <c r="B161" s="70" t="str">
        <f ca="1">IFERROR(HYPERLINK(ml&amp;"!A1",MID(ml,FIND("]",ml)+1,99)&amp;REPT("",50)),"")</f>
        <v/>
      </c>
      <c r="C161" s="67"/>
      <c r="D161" s="68"/>
      <c r="E161" s="68"/>
      <c r="F161" s="68"/>
      <c r="G161" s="68"/>
      <c r="H161" s="68"/>
      <c r="I161" s="68"/>
      <c r="J161" s="68"/>
      <c r="K161" s="68"/>
      <c r="L161" s="68"/>
    </row>
    <row r="162" customHeight="1" spans="1:12">
      <c r="A162" s="59" t="str">
        <f ca="1" t="shared" si="5"/>
        <v/>
      </c>
      <c r="B162" s="70" t="str">
        <f ca="1">IFERROR(HYPERLINK(ml&amp;"!A1",MID(ml,FIND("]",ml)+1,99)&amp;REPT("",50)),"")</f>
        <v/>
      </c>
      <c r="C162" s="67"/>
      <c r="D162" s="68"/>
      <c r="E162" s="68"/>
      <c r="F162" s="68"/>
      <c r="G162" s="68"/>
      <c r="H162" s="68"/>
      <c r="I162" s="68"/>
      <c r="J162" s="68"/>
      <c r="K162" s="68"/>
      <c r="L162" s="68"/>
    </row>
    <row r="163" customHeight="1" spans="1:12">
      <c r="A163" s="59" t="str">
        <f ca="1" t="shared" si="5"/>
        <v/>
      </c>
      <c r="B163" s="70" t="str">
        <f ca="1">IFERROR(HYPERLINK(ml&amp;"!A1",MID(ml,FIND("]",ml)+1,99)&amp;REPT("",50)),"")</f>
        <v/>
      </c>
      <c r="C163" s="67"/>
      <c r="D163" s="68"/>
      <c r="E163" s="68"/>
      <c r="F163" s="68"/>
      <c r="G163" s="68"/>
      <c r="H163" s="68"/>
      <c r="I163" s="68"/>
      <c r="J163" s="68"/>
      <c r="K163" s="68"/>
      <c r="L163" s="68"/>
    </row>
    <row r="164" customHeight="1" spans="1:12">
      <c r="A164" s="59" t="str">
        <f ca="1" t="shared" si="5"/>
        <v/>
      </c>
      <c r="B164" s="70" t="str">
        <f ca="1">IFERROR(HYPERLINK(ml&amp;"!A1",MID(ml,FIND("]",ml)+1,99)&amp;REPT("",50)),"")</f>
        <v/>
      </c>
      <c r="C164" s="67"/>
      <c r="D164" s="68"/>
      <c r="E164" s="68"/>
      <c r="F164" s="68"/>
      <c r="G164" s="68"/>
      <c r="H164" s="68"/>
      <c r="I164" s="68"/>
      <c r="J164" s="68"/>
      <c r="K164" s="68"/>
      <c r="L164" s="68"/>
    </row>
    <row r="165" customHeight="1" spans="1:12">
      <c r="A165" s="59" t="str">
        <f ca="1" t="shared" si="5"/>
        <v/>
      </c>
      <c r="B165" s="70" t="str">
        <f ca="1">IFERROR(HYPERLINK(ml&amp;"!A1",MID(ml,FIND("]",ml)+1,99)&amp;REPT("",50)),"")</f>
        <v/>
      </c>
      <c r="C165" s="67"/>
      <c r="D165" s="68"/>
      <c r="E165" s="68"/>
      <c r="F165" s="68"/>
      <c r="G165" s="68"/>
      <c r="H165" s="68"/>
      <c r="I165" s="68"/>
      <c r="J165" s="68"/>
      <c r="K165" s="68"/>
      <c r="L165" s="68"/>
    </row>
    <row r="166" customHeight="1" spans="1:12">
      <c r="A166" s="59" t="str">
        <f ca="1" t="shared" si="5"/>
        <v/>
      </c>
      <c r="B166" s="70" t="str">
        <f ca="1">IFERROR(HYPERLINK(ml&amp;"!A1",MID(ml,FIND("]",ml)+1,99)&amp;REPT("",50)),"")</f>
        <v/>
      </c>
      <c r="C166" s="67"/>
      <c r="D166" s="68"/>
      <c r="E166" s="68"/>
      <c r="F166" s="68"/>
      <c r="G166" s="68"/>
      <c r="H166" s="68"/>
      <c r="I166" s="68"/>
      <c r="J166" s="68"/>
      <c r="K166" s="68"/>
      <c r="L166" s="68"/>
    </row>
    <row r="167" customHeight="1" spans="1:12">
      <c r="A167" s="59" t="str">
        <f ca="1" t="shared" si="5"/>
        <v/>
      </c>
      <c r="B167" s="70" t="str">
        <f ca="1">IFERROR(HYPERLINK(ml&amp;"!A1",MID(ml,FIND("]",ml)+1,99)&amp;REPT("",50)),"")</f>
        <v/>
      </c>
      <c r="C167" s="67"/>
      <c r="D167" s="68"/>
      <c r="E167" s="68"/>
      <c r="F167" s="68"/>
      <c r="G167" s="68"/>
      <c r="H167" s="68"/>
      <c r="I167" s="68"/>
      <c r="J167" s="68"/>
      <c r="K167" s="68"/>
      <c r="L167" s="68"/>
    </row>
    <row r="168" customHeight="1" spans="1:12">
      <c r="A168" s="59" t="str">
        <f ca="1" t="shared" si="5"/>
        <v/>
      </c>
      <c r="B168" s="70" t="str">
        <f ca="1">IFERROR(HYPERLINK(ml&amp;"!A1",MID(ml,FIND("]",ml)+1,99)&amp;REPT("",50)),"")</f>
        <v/>
      </c>
      <c r="C168" s="67"/>
      <c r="D168" s="68"/>
      <c r="E168" s="68"/>
      <c r="F168" s="68"/>
      <c r="G168" s="68"/>
      <c r="H168" s="68"/>
      <c r="I168" s="68"/>
      <c r="J168" s="68"/>
      <c r="K168" s="68"/>
      <c r="L168" s="68"/>
    </row>
    <row r="169" customHeight="1" spans="1:12">
      <c r="A169" s="59" t="str">
        <f ca="1" t="shared" si="5"/>
        <v/>
      </c>
      <c r="B169" s="70" t="str">
        <f ca="1">IFERROR(HYPERLINK(ml&amp;"!A1",MID(ml,FIND("]",ml)+1,99)&amp;REPT("",50)),"")</f>
        <v/>
      </c>
      <c r="C169" s="67"/>
      <c r="D169" s="68"/>
      <c r="E169" s="68"/>
      <c r="F169" s="68"/>
      <c r="G169" s="68"/>
      <c r="H169" s="68"/>
      <c r="I169" s="68"/>
      <c r="J169" s="68"/>
      <c r="K169" s="68"/>
      <c r="L169" s="68"/>
    </row>
    <row r="170" customHeight="1" spans="1:12">
      <c r="A170" s="59" t="str">
        <f ca="1" t="shared" si="5"/>
        <v/>
      </c>
      <c r="B170" s="70" t="str">
        <f ca="1">IFERROR(HYPERLINK(ml&amp;"!A1",MID(ml,FIND("]",ml)+1,99)&amp;REPT("",50)),"")</f>
        <v/>
      </c>
      <c r="C170" s="67"/>
      <c r="D170" s="68"/>
      <c r="E170" s="68"/>
      <c r="F170" s="68"/>
      <c r="G170" s="68"/>
      <c r="H170" s="68"/>
      <c r="I170" s="68"/>
      <c r="J170" s="68"/>
      <c r="K170" s="68"/>
      <c r="L170" s="68"/>
    </row>
    <row r="171" customHeight="1" spans="1:12">
      <c r="A171" s="59" t="str">
        <f ca="1" t="shared" si="5"/>
        <v/>
      </c>
      <c r="B171" s="70" t="str">
        <f ca="1">IFERROR(HYPERLINK(ml&amp;"!A1",MID(ml,FIND("]",ml)+1,99)&amp;REPT("",50)),"")</f>
        <v/>
      </c>
      <c r="C171" s="67"/>
      <c r="D171" s="68"/>
      <c r="E171" s="68"/>
      <c r="F171" s="68"/>
      <c r="G171" s="68"/>
      <c r="H171" s="68"/>
      <c r="I171" s="68"/>
      <c r="J171" s="68"/>
      <c r="K171" s="68"/>
      <c r="L171" s="68"/>
    </row>
    <row r="172" customHeight="1" spans="1:12">
      <c r="A172" s="59" t="str">
        <f ca="1" t="shared" si="5"/>
        <v/>
      </c>
      <c r="B172" s="70" t="str">
        <f ca="1">IFERROR(HYPERLINK(ml&amp;"!A1",MID(ml,FIND("]",ml)+1,99)&amp;REPT("",50)),"")</f>
        <v/>
      </c>
      <c r="C172" s="67"/>
      <c r="D172" s="68"/>
      <c r="E172" s="68"/>
      <c r="F172" s="68"/>
      <c r="G172" s="68"/>
      <c r="H172" s="68"/>
      <c r="I172" s="68"/>
      <c r="J172" s="68"/>
      <c r="K172" s="68"/>
      <c r="L172" s="68"/>
    </row>
    <row r="173" customHeight="1" spans="1:12">
      <c r="A173" s="59" t="str">
        <f ca="1" t="shared" si="5"/>
        <v/>
      </c>
      <c r="B173" s="70" t="str">
        <f ca="1">IFERROR(HYPERLINK(ml&amp;"!A1",MID(ml,FIND("]",ml)+1,99)&amp;REPT("",50)),"")</f>
        <v/>
      </c>
      <c r="C173" s="67"/>
      <c r="D173" s="68"/>
      <c r="E173" s="68"/>
      <c r="F173" s="68"/>
      <c r="G173" s="68"/>
      <c r="H173" s="68"/>
      <c r="I173" s="68"/>
      <c r="J173" s="68"/>
      <c r="K173" s="68"/>
      <c r="L173" s="68"/>
    </row>
    <row r="174" customHeight="1" spans="1:12">
      <c r="A174" s="59" t="str">
        <f ca="1" t="shared" si="5"/>
        <v/>
      </c>
      <c r="B174" s="70" t="str">
        <f ca="1">IFERROR(HYPERLINK(ml&amp;"!A1",MID(ml,FIND("]",ml)+1,99)&amp;REPT("",50)),"")</f>
        <v/>
      </c>
      <c r="C174" s="67"/>
      <c r="D174" s="68"/>
      <c r="E174" s="68"/>
      <c r="F174" s="68"/>
      <c r="G174" s="68"/>
      <c r="H174" s="68"/>
      <c r="I174" s="68"/>
      <c r="J174" s="68"/>
      <c r="K174" s="68"/>
      <c r="L174" s="68"/>
    </row>
    <row r="175" customHeight="1" spans="1:12">
      <c r="A175" s="59" t="str">
        <f ca="1" t="shared" si="5"/>
        <v/>
      </c>
      <c r="B175" s="70" t="str">
        <f ca="1">IFERROR(HYPERLINK(ml&amp;"!A1",MID(ml,FIND("]",ml)+1,99)&amp;REPT("",50)),"")</f>
        <v/>
      </c>
      <c r="C175" s="67"/>
      <c r="D175" s="68"/>
      <c r="E175" s="68"/>
      <c r="F175" s="68"/>
      <c r="G175" s="68"/>
      <c r="H175" s="68"/>
      <c r="I175" s="68"/>
      <c r="J175" s="68"/>
      <c r="K175" s="68"/>
      <c r="L175" s="68"/>
    </row>
    <row r="176" customHeight="1" spans="1:12">
      <c r="A176" s="59" t="str">
        <f ca="1" t="shared" si="5"/>
        <v/>
      </c>
      <c r="B176" s="70" t="str">
        <f ca="1">IFERROR(HYPERLINK(ml&amp;"!A1",MID(ml,FIND("]",ml)+1,99)&amp;REPT("",50)),"")</f>
        <v/>
      </c>
      <c r="C176" s="67"/>
      <c r="D176" s="68"/>
      <c r="E176" s="68"/>
      <c r="F176" s="68"/>
      <c r="G176" s="68"/>
      <c r="H176" s="68"/>
      <c r="I176" s="68"/>
      <c r="J176" s="68"/>
      <c r="K176" s="68"/>
      <c r="L176" s="68"/>
    </row>
    <row r="177" customHeight="1" spans="1:12">
      <c r="A177" s="59" t="str">
        <f ca="1" t="shared" si="5"/>
        <v/>
      </c>
      <c r="B177" s="70" t="str">
        <f ca="1">IFERROR(HYPERLINK(ml&amp;"!A1",MID(ml,FIND("]",ml)+1,99)&amp;REPT("",50)),"")</f>
        <v/>
      </c>
      <c r="C177" s="67"/>
      <c r="D177" s="68"/>
      <c r="E177" s="68"/>
      <c r="F177" s="68"/>
      <c r="G177" s="68"/>
      <c r="H177" s="68"/>
      <c r="I177" s="68"/>
      <c r="J177" s="68"/>
      <c r="K177" s="68"/>
      <c r="L177" s="68"/>
    </row>
    <row r="178" customHeight="1" spans="1:12">
      <c r="A178" s="59" t="str">
        <f ca="1" t="shared" ref="A178:A197" si="6">IF(B178&lt;&gt;"",ROW()-1,"")</f>
        <v/>
      </c>
      <c r="B178" s="70" t="str">
        <f ca="1">IFERROR(HYPERLINK(ml&amp;"!A1",MID(ml,FIND("]",ml)+1,99)&amp;REPT("",50)),"")</f>
        <v/>
      </c>
      <c r="C178" s="67"/>
      <c r="D178" s="68"/>
      <c r="E178" s="68"/>
      <c r="F178" s="68"/>
      <c r="G178" s="68"/>
      <c r="H178" s="68"/>
      <c r="I178" s="68"/>
      <c r="J178" s="68"/>
      <c r="K178" s="68"/>
      <c r="L178" s="68"/>
    </row>
    <row r="179" customHeight="1" spans="1:12">
      <c r="A179" s="59" t="str">
        <f ca="1" t="shared" si="6"/>
        <v/>
      </c>
      <c r="B179" s="70" t="str">
        <f ca="1">IFERROR(HYPERLINK(ml&amp;"!A1",MID(ml,FIND("]",ml)+1,99)&amp;REPT("",50)),"")</f>
        <v/>
      </c>
      <c r="C179" s="67"/>
      <c r="D179" s="68"/>
      <c r="E179" s="68"/>
      <c r="F179" s="68"/>
      <c r="G179" s="68"/>
      <c r="H179" s="68"/>
      <c r="I179" s="68"/>
      <c r="J179" s="68"/>
      <c r="K179" s="68"/>
      <c r="L179" s="68"/>
    </row>
    <row r="180" customHeight="1" spans="1:12">
      <c r="A180" s="59" t="str">
        <f ca="1" t="shared" si="6"/>
        <v/>
      </c>
      <c r="B180" s="70" t="str">
        <f ca="1">IFERROR(HYPERLINK(ml&amp;"!A1",MID(ml,FIND("]",ml)+1,99)&amp;REPT("",50)),"")</f>
        <v/>
      </c>
      <c r="C180" s="67"/>
      <c r="D180" s="68"/>
      <c r="E180" s="68"/>
      <c r="F180" s="68"/>
      <c r="G180" s="68"/>
      <c r="H180" s="68"/>
      <c r="I180" s="68"/>
      <c r="J180" s="68"/>
      <c r="K180" s="68"/>
      <c r="L180" s="68"/>
    </row>
    <row r="181" customHeight="1" spans="1:12">
      <c r="A181" s="59" t="str">
        <f ca="1" t="shared" si="6"/>
        <v/>
      </c>
      <c r="B181" s="70" t="str">
        <f ca="1">IFERROR(HYPERLINK(ml&amp;"!A1",MID(ml,FIND("]",ml)+1,99)&amp;REPT("",50)),"")</f>
        <v/>
      </c>
      <c r="C181" s="67"/>
      <c r="D181" s="68"/>
      <c r="E181" s="68"/>
      <c r="F181" s="68"/>
      <c r="G181" s="68"/>
      <c r="H181" s="68"/>
      <c r="I181" s="68"/>
      <c r="J181" s="68"/>
      <c r="K181" s="68"/>
      <c r="L181" s="68"/>
    </row>
    <row r="182" customHeight="1" spans="1:12">
      <c r="A182" s="59" t="str">
        <f ca="1" t="shared" si="6"/>
        <v/>
      </c>
      <c r="B182" s="70" t="str">
        <f ca="1">IFERROR(HYPERLINK(ml&amp;"!A1",MID(ml,FIND("]",ml)+1,99)&amp;REPT("",50)),"")</f>
        <v/>
      </c>
      <c r="C182" s="67"/>
      <c r="D182" s="68"/>
      <c r="E182" s="68"/>
      <c r="F182" s="68"/>
      <c r="G182" s="68"/>
      <c r="H182" s="68"/>
      <c r="I182" s="68"/>
      <c r="J182" s="68"/>
      <c r="K182" s="68"/>
      <c r="L182" s="68"/>
    </row>
    <row r="183" customHeight="1" spans="1:12">
      <c r="A183" s="59" t="str">
        <f ca="1" t="shared" si="6"/>
        <v/>
      </c>
      <c r="B183" s="70" t="str">
        <f ca="1">IFERROR(HYPERLINK(ml&amp;"!A1",MID(ml,FIND("]",ml)+1,99)&amp;REPT("",50)),"")</f>
        <v/>
      </c>
      <c r="C183" s="67"/>
      <c r="D183" s="68"/>
      <c r="E183" s="68"/>
      <c r="F183" s="68"/>
      <c r="G183" s="68"/>
      <c r="H183" s="68"/>
      <c r="I183" s="68"/>
      <c r="J183" s="68"/>
      <c r="K183" s="68"/>
      <c r="L183" s="68"/>
    </row>
    <row r="184" customHeight="1" spans="1:12">
      <c r="A184" s="59" t="str">
        <f ca="1" t="shared" si="6"/>
        <v/>
      </c>
      <c r="B184" s="70" t="str">
        <f ca="1">IFERROR(HYPERLINK(ml&amp;"!A1",MID(ml,FIND("]",ml)+1,99)&amp;REPT("",50)),"")</f>
        <v/>
      </c>
      <c r="C184" s="67"/>
      <c r="D184" s="68"/>
      <c r="E184" s="68"/>
      <c r="F184" s="68"/>
      <c r="G184" s="68"/>
      <c r="H184" s="68"/>
      <c r="I184" s="68"/>
      <c r="J184" s="68"/>
      <c r="K184" s="68"/>
      <c r="L184" s="68"/>
    </row>
    <row r="185" customHeight="1" spans="1:12">
      <c r="A185" s="59" t="str">
        <f ca="1" t="shared" si="6"/>
        <v/>
      </c>
      <c r="B185" s="70" t="str">
        <f ca="1">IFERROR(HYPERLINK(ml&amp;"!A1",MID(ml,FIND("]",ml)+1,99)&amp;REPT("",50)),"")</f>
        <v/>
      </c>
      <c r="C185" s="67"/>
      <c r="D185" s="68"/>
      <c r="E185" s="68"/>
      <c r="F185" s="68"/>
      <c r="G185" s="68"/>
      <c r="H185" s="68"/>
      <c r="I185" s="68"/>
      <c r="J185" s="68"/>
      <c r="K185" s="68"/>
      <c r="L185" s="68"/>
    </row>
    <row r="186" customHeight="1" spans="1:12">
      <c r="A186" s="59" t="str">
        <f ca="1" t="shared" si="6"/>
        <v/>
      </c>
      <c r="B186" s="70" t="str">
        <f ca="1">IFERROR(HYPERLINK(ml&amp;"!A1",MID(ml,FIND("]",ml)+1,99)&amp;REPT("",50)),"")</f>
        <v/>
      </c>
      <c r="C186" s="67"/>
      <c r="D186" s="68"/>
      <c r="E186" s="68"/>
      <c r="F186" s="68"/>
      <c r="G186" s="68"/>
      <c r="H186" s="68"/>
      <c r="I186" s="68"/>
      <c r="J186" s="68"/>
      <c r="K186" s="68"/>
      <c r="L186" s="68"/>
    </row>
    <row r="187" customHeight="1" spans="1:12">
      <c r="A187" s="59" t="str">
        <f ca="1" t="shared" si="6"/>
        <v/>
      </c>
      <c r="B187" s="70" t="str">
        <f ca="1">IFERROR(HYPERLINK(ml&amp;"!A1",MID(ml,FIND("]",ml)+1,99)&amp;REPT("",50)),"")</f>
        <v/>
      </c>
      <c r="C187" s="67"/>
      <c r="D187" s="68"/>
      <c r="E187" s="68"/>
      <c r="F187" s="68"/>
      <c r="G187" s="68"/>
      <c r="H187" s="68"/>
      <c r="I187" s="68"/>
      <c r="J187" s="68"/>
      <c r="K187" s="68"/>
      <c r="L187" s="68"/>
    </row>
    <row r="188" customHeight="1" spans="1:12">
      <c r="A188" s="59" t="str">
        <f ca="1" t="shared" si="6"/>
        <v/>
      </c>
      <c r="B188" s="70" t="str">
        <f ca="1">IFERROR(HYPERLINK(ml&amp;"!A1",MID(ml,FIND("]",ml)+1,99)&amp;REPT("",50)),"")</f>
        <v/>
      </c>
      <c r="C188" s="67"/>
      <c r="D188" s="68"/>
      <c r="E188" s="68"/>
      <c r="F188" s="68"/>
      <c r="G188" s="68"/>
      <c r="H188" s="68"/>
      <c r="I188" s="68"/>
      <c r="J188" s="68"/>
      <c r="K188" s="68"/>
      <c r="L188" s="68"/>
    </row>
    <row r="189" customHeight="1" spans="1:12">
      <c r="A189" s="59" t="str">
        <f ca="1" t="shared" si="6"/>
        <v/>
      </c>
      <c r="B189" s="70" t="str">
        <f ca="1">IFERROR(HYPERLINK(ml&amp;"!A1",MID(ml,FIND("]",ml)+1,99)&amp;REPT("",50)),"")</f>
        <v/>
      </c>
      <c r="C189" s="67"/>
      <c r="D189" s="68"/>
      <c r="E189" s="68"/>
      <c r="F189" s="68"/>
      <c r="G189" s="68"/>
      <c r="H189" s="68"/>
      <c r="I189" s="68"/>
      <c r="J189" s="68"/>
      <c r="K189" s="68"/>
      <c r="L189" s="68"/>
    </row>
    <row r="190" customHeight="1" spans="1:12">
      <c r="A190" s="59" t="str">
        <f ca="1" t="shared" si="6"/>
        <v/>
      </c>
      <c r="B190" s="70" t="str">
        <f ca="1">IFERROR(HYPERLINK(ml&amp;"!A1",MID(ml,FIND("]",ml)+1,99)&amp;REPT("",50)),"")</f>
        <v/>
      </c>
      <c r="C190" s="67"/>
      <c r="D190" s="68"/>
      <c r="E190" s="68"/>
      <c r="F190" s="68"/>
      <c r="G190" s="68"/>
      <c r="H190" s="68"/>
      <c r="I190" s="68"/>
      <c r="J190" s="68"/>
      <c r="K190" s="68"/>
      <c r="L190" s="68"/>
    </row>
    <row r="191" customHeight="1" spans="1:12">
      <c r="A191" s="59" t="str">
        <f ca="1" t="shared" si="6"/>
        <v/>
      </c>
      <c r="B191" s="70" t="str">
        <f ca="1">IFERROR(HYPERLINK(ml&amp;"!A1",MID(ml,FIND("]",ml)+1,99)&amp;REPT("",50)),"")</f>
        <v/>
      </c>
      <c r="C191" s="67"/>
      <c r="D191" s="68"/>
      <c r="E191" s="68"/>
      <c r="F191" s="68"/>
      <c r="G191" s="68"/>
      <c r="H191" s="68"/>
      <c r="I191" s="68"/>
      <c r="J191" s="68"/>
      <c r="K191" s="68"/>
      <c r="L191" s="68"/>
    </row>
    <row r="192" customHeight="1" spans="1:12">
      <c r="A192" s="59" t="str">
        <f ca="1" t="shared" si="6"/>
        <v/>
      </c>
      <c r="B192" s="70" t="str">
        <f ca="1">IFERROR(HYPERLINK(ml&amp;"!A1",MID(ml,FIND("]",ml)+1,99)&amp;REPT("",50)),"")</f>
        <v/>
      </c>
      <c r="C192" s="67"/>
      <c r="D192" s="68"/>
      <c r="E192" s="68"/>
      <c r="F192" s="68"/>
      <c r="G192" s="68"/>
      <c r="H192" s="68"/>
      <c r="I192" s="68"/>
      <c r="J192" s="68"/>
      <c r="K192" s="68"/>
      <c r="L192" s="68"/>
    </row>
    <row r="193" customHeight="1" spans="1:12">
      <c r="A193" s="59" t="str">
        <f ca="1" t="shared" si="6"/>
        <v/>
      </c>
      <c r="B193" s="70" t="str">
        <f ca="1">IFERROR(HYPERLINK(ml&amp;"!A1",MID(ml,FIND("]",ml)+1,99)&amp;REPT("",50)),"")</f>
        <v/>
      </c>
      <c r="C193" s="67"/>
      <c r="D193" s="68"/>
      <c r="E193" s="68"/>
      <c r="F193" s="68"/>
      <c r="G193" s="68"/>
      <c r="H193" s="68"/>
      <c r="I193" s="68"/>
      <c r="J193" s="68"/>
      <c r="K193" s="68"/>
      <c r="L193" s="68"/>
    </row>
    <row r="194" customHeight="1" spans="1:12">
      <c r="A194" s="59" t="str">
        <f ca="1" t="shared" si="6"/>
        <v/>
      </c>
      <c r="B194" s="70" t="str">
        <f ca="1">IFERROR(HYPERLINK(ml&amp;"!A1",MID(ml,FIND("]",ml)+1,99)&amp;REPT("",50)),"")</f>
        <v/>
      </c>
      <c r="C194" s="67"/>
      <c r="D194" s="68"/>
      <c r="E194" s="68"/>
      <c r="F194" s="68"/>
      <c r="G194" s="68"/>
      <c r="H194" s="68"/>
      <c r="I194" s="68"/>
      <c r="J194" s="68"/>
      <c r="K194" s="68"/>
      <c r="L194" s="68"/>
    </row>
    <row r="195" customHeight="1" spans="1:12">
      <c r="A195" s="59" t="str">
        <f ca="1" t="shared" si="6"/>
        <v/>
      </c>
      <c r="B195" s="70" t="str">
        <f ca="1">IFERROR(HYPERLINK(ml&amp;"!A1",MID(ml,FIND("]",ml)+1,99)&amp;REPT("",50)),"")</f>
        <v/>
      </c>
      <c r="C195" s="67"/>
      <c r="D195" s="68"/>
      <c r="E195" s="68"/>
      <c r="F195" s="68"/>
      <c r="G195" s="68"/>
      <c r="H195" s="68"/>
      <c r="I195" s="68"/>
      <c r="J195" s="68"/>
      <c r="K195" s="68"/>
      <c r="L195" s="68"/>
    </row>
    <row r="196" customHeight="1" spans="1:12">
      <c r="A196" s="59" t="str">
        <f ca="1" t="shared" si="6"/>
        <v/>
      </c>
      <c r="B196" s="70" t="str">
        <f ca="1">IFERROR(HYPERLINK(ml&amp;"!A1",MID(ml,FIND("]",ml)+1,99)&amp;REPT("",50)),"")</f>
        <v/>
      </c>
      <c r="C196" s="67"/>
      <c r="D196" s="68"/>
      <c r="E196" s="68"/>
      <c r="F196" s="68"/>
      <c r="G196" s="68"/>
      <c r="H196" s="68"/>
      <c r="I196" s="68"/>
      <c r="J196" s="68"/>
      <c r="K196" s="68"/>
      <c r="L196" s="68"/>
    </row>
    <row r="197" customHeight="1" spans="1:12">
      <c r="A197" s="59" t="str">
        <f ca="1" t="shared" si="6"/>
        <v/>
      </c>
      <c r="B197" s="70" t="str">
        <f ca="1">IFERROR(HYPERLINK(ml&amp;"!A1",MID(ml,FIND("]",ml)+1,99)&amp;REPT("",50)),"")</f>
        <v/>
      </c>
      <c r="C197" s="67"/>
      <c r="D197" s="68"/>
      <c r="E197" s="68"/>
      <c r="F197" s="68"/>
      <c r="G197" s="68"/>
      <c r="H197" s="68"/>
      <c r="I197" s="68"/>
      <c r="J197" s="68"/>
      <c r="K197" s="68"/>
      <c r="L197" s="68"/>
    </row>
  </sheetData>
  <mergeCells count="1">
    <mergeCell ref="H2:M3"/>
  </mergeCells>
  <dataValidations count="2">
    <dataValidation allowBlank="1" showInputMessage="1" showErrorMessage="1" prompt="点击至第一行" sqref="D1"/>
    <dataValidation allowBlank="1" showInputMessage="1" showErrorMessage="1" prompt="新建工作表自动添加工作表名称，点击自动跳转至该工作表" sqref="B$1:B$1048576"/>
  </dataValidations>
  <hyperlinks>
    <hyperlink ref="D1" location="目录!D2" display="至首行"/>
    <hyperlink ref="H2" r:id="rId1" display="打开文件时需开启宏，如电脑未安装宏，请点击下载，下载链接：https://pan.baidu.com/s/1y1lFWwOxUsYluSYEGrKyfg 提取码：fofs"/>
  </hyperlinks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N236"/>
  <sheetViews>
    <sheetView workbookViewId="0">
      <pane xSplit="7" ySplit="1" topLeftCell="H2" activePane="bottomRight" state="frozen"/>
      <selection/>
      <selection pane="topRight"/>
      <selection pane="bottomLeft"/>
      <selection pane="bottomRight" activeCell="A2" sqref="A2"/>
    </sheetView>
  </sheetViews>
  <sheetFormatPr defaultColWidth="8.8" defaultRowHeight="22" customHeight="1"/>
  <cols>
    <col min="1" max="1" width="12.2" style="41" customWidth="1"/>
    <col min="2" max="2" width="6.1" style="42" customWidth="1"/>
    <col min="3" max="3" width="8.9" style="42" customWidth="1"/>
    <col min="4" max="4" width="13.6" style="43" customWidth="1"/>
    <col min="5" max="5" width="14.2" style="43" customWidth="1"/>
    <col min="6" max="6" width="12.7" style="43" customWidth="1"/>
    <col min="7" max="7" width="9.2" style="43" customWidth="1"/>
    <col min="8" max="16384" width="8.66666666666667" style="44"/>
  </cols>
  <sheetData>
    <row r="1" customHeight="1" spans="1:14">
      <c r="A1" s="45" t="s">
        <v>4</v>
      </c>
      <c r="B1" s="46" t="s">
        <v>5</v>
      </c>
      <c r="C1" s="46" t="s">
        <v>6</v>
      </c>
      <c r="D1" s="47" t="s">
        <v>7</v>
      </c>
      <c r="E1" s="47" t="s">
        <v>8</v>
      </c>
      <c r="F1" s="47" t="s">
        <v>9</v>
      </c>
      <c r="G1" s="48" t="s">
        <v>10</v>
      </c>
      <c r="H1" s="49" t="s">
        <v>1</v>
      </c>
      <c r="I1" s="54" t="str">
        <f ca="1">HYPERLINK("#b"&amp;COUNT(G:G)+2,"至尾行")</f>
        <v>至尾行</v>
      </c>
      <c r="K1" s="35" t="s">
        <v>11</v>
      </c>
      <c r="M1" s="44" t="s">
        <v>12</v>
      </c>
      <c r="N1" s="55" t="s">
        <v>13</v>
      </c>
    </row>
    <row r="2" customHeight="1" spans="1:7">
      <c r="A2" s="50">
        <v>43922</v>
      </c>
      <c r="B2" s="51">
        <v>5</v>
      </c>
      <c r="C2" s="51">
        <v>10</v>
      </c>
      <c r="D2" s="52" t="s">
        <v>14</v>
      </c>
      <c r="E2" s="52" t="s">
        <v>15</v>
      </c>
      <c r="F2" s="52" t="s">
        <v>16</v>
      </c>
      <c r="G2" s="43">
        <f>AVERAGE(B2,C2)</f>
        <v>7.5</v>
      </c>
    </row>
    <row r="3" customHeight="1" spans="1:7">
      <c r="A3" s="50">
        <v>43923</v>
      </c>
      <c r="B3" s="51">
        <v>4</v>
      </c>
      <c r="C3" s="51">
        <v>10</v>
      </c>
      <c r="D3" s="52" t="s">
        <v>17</v>
      </c>
      <c r="E3" s="52" t="s">
        <v>18</v>
      </c>
      <c r="F3" s="52" t="s">
        <v>19</v>
      </c>
      <c r="G3" s="43">
        <f t="shared" ref="G3:G66" si="0">AVERAGE(B3,C3)</f>
        <v>7</v>
      </c>
    </row>
    <row r="4" customHeight="1" spans="1:7">
      <c r="A4" s="50">
        <v>43924</v>
      </c>
      <c r="B4" s="51">
        <v>8</v>
      </c>
      <c r="C4" s="51">
        <v>17</v>
      </c>
      <c r="D4" s="52" t="s">
        <v>20</v>
      </c>
      <c r="E4" s="52" t="s">
        <v>18</v>
      </c>
      <c r="F4" s="52" t="s">
        <v>21</v>
      </c>
      <c r="G4" s="43">
        <f t="shared" si="0"/>
        <v>12.5</v>
      </c>
    </row>
    <row r="5" customHeight="1" spans="1:7">
      <c r="A5" s="50">
        <v>43925</v>
      </c>
      <c r="B5" s="51">
        <v>5</v>
      </c>
      <c r="C5" s="51">
        <v>15</v>
      </c>
      <c r="D5" s="52" t="s">
        <v>20</v>
      </c>
      <c r="E5" s="52" t="s">
        <v>15</v>
      </c>
      <c r="F5" s="52" t="s">
        <v>22</v>
      </c>
      <c r="G5" s="43">
        <f t="shared" si="0"/>
        <v>10</v>
      </c>
    </row>
    <row r="6" customHeight="1" spans="1:7">
      <c r="A6" s="50">
        <v>43926</v>
      </c>
      <c r="B6" s="51">
        <v>11</v>
      </c>
      <c r="C6" s="51">
        <v>14</v>
      </c>
      <c r="D6" s="52" t="s">
        <v>23</v>
      </c>
      <c r="E6" s="52" t="s">
        <v>18</v>
      </c>
      <c r="F6" s="52" t="s">
        <v>24</v>
      </c>
      <c r="G6" s="43">
        <f t="shared" si="0"/>
        <v>12.5</v>
      </c>
    </row>
    <row r="7" customHeight="1" spans="1:7">
      <c r="A7" s="50">
        <v>43927</v>
      </c>
      <c r="B7" s="51">
        <v>8</v>
      </c>
      <c r="C7" s="51">
        <v>16</v>
      </c>
      <c r="D7" s="52" t="s">
        <v>25</v>
      </c>
      <c r="E7" s="52" t="s">
        <v>26</v>
      </c>
      <c r="F7" s="52" t="s">
        <v>27</v>
      </c>
      <c r="G7" s="43">
        <f t="shared" si="0"/>
        <v>12</v>
      </c>
    </row>
    <row r="8" customHeight="1" spans="1:7">
      <c r="A8" s="50">
        <v>43928</v>
      </c>
      <c r="B8" s="51">
        <v>8</v>
      </c>
      <c r="C8" s="51">
        <v>15</v>
      </c>
      <c r="D8" s="52" t="s">
        <v>28</v>
      </c>
      <c r="E8" s="52" t="s">
        <v>29</v>
      </c>
      <c r="F8" s="52" t="s">
        <v>30</v>
      </c>
      <c r="G8" s="43">
        <f t="shared" si="0"/>
        <v>11.5</v>
      </c>
    </row>
    <row r="9" customHeight="1" spans="1:7">
      <c r="A9" s="50">
        <v>43929</v>
      </c>
      <c r="B9" s="51">
        <v>5</v>
      </c>
      <c r="C9" s="51">
        <v>13</v>
      </c>
      <c r="D9" s="52" t="s">
        <v>31</v>
      </c>
      <c r="E9" s="52" t="s">
        <v>32</v>
      </c>
      <c r="F9" s="52" t="s">
        <v>24</v>
      </c>
      <c r="G9" s="43">
        <f t="shared" si="0"/>
        <v>9</v>
      </c>
    </row>
    <row r="10" customHeight="1" spans="1:7">
      <c r="A10" s="50">
        <v>43930</v>
      </c>
      <c r="B10" s="51">
        <v>3</v>
      </c>
      <c r="C10" s="51">
        <v>6</v>
      </c>
      <c r="D10" s="52" t="s">
        <v>33</v>
      </c>
      <c r="E10" s="52" t="s">
        <v>29</v>
      </c>
      <c r="F10" s="52" t="s">
        <v>34</v>
      </c>
      <c r="G10" s="43">
        <f t="shared" si="0"/>
        <v>4.5</v>
      </c>
    </row>
    <row r="11" customHeight="1" spans="1:7">
      <c r="A11" s="50">
        <v>43931</v>
      </c>
      <c r="B11" s="51">
        <v>3</v>
      </c>
      <c r="C11" s="51">
        <v>7</v>
      </c>
      <c r="D11" s="52" t="s">
        <v>14</v>
      </c>
      <c r="E11" s="52" t="s">
        <v>35</v>
      </c>
      <c r="F11" s="52" t="s">
        <v>36</v>
      </c>
      <c r="G11" s="43">
        <f t="shared" si="0"/>
        <v>5</v>
      </c>
    </row>
    <row r="12" customHeight="1" spans="1:7">
      <c r="A12" s="50">
        <v>43932</v>
      </c>
      <c r="B12" s="51">
        <v>6</v>
      </c>
      <c r="C12" s="51">
        <v>14</v>
      </c>
      <c r="D12" s="52" t="s">
        <v>23</v>
      </c>
      <c r="E12" s="52" t="s">
        <v>37</v>
      </c>
      <c r="F12" s="52" t="s">
        <v>38</v>
      </c>
      <c r="G12" s="43">
        <f t="shared" si="0"/>
        <v>10</v>
      </c>
    </row>
    <row r="13" customHeight="1" spans="1:7">
      <c r="A13" s="50">
        <v>43933</v>
      </c>
      <c r="B13" s="51">
        <v>6</v>
      </c>
      <c r="C13" s="51">
        <v>13</v>
      </c>
      <c r="D13" s="52" t="s">
        <v>20</v>
      </c>
      <c r="E13" s="52" t="s">
        <v>15</v>
      </c>
      <c r="F13" s="52" t="s">
        <v>16</v>
      </c>
      <c r="G13" s="43">
        <f t="shared" si="0"/>
        <v>9.5</v>
      </c>
    </row>
    <row r="14" customHeight="1" spans="1:7">
      <c r="A14" s="50">
        <v>43934</v>
      </c>
      <c r="B14" s="51">
        <v>13</v>
      </c>
      <c r="C14" s="51">
        <v>20</v>
      </c>
      <c r="D14" s="52" t="s">
        <v>20</v>
      </c>
      <c r="E14" s="52" t="s">
        <v>18</v>
      </c>
      <c r="F14" s="52" t="s">
        <v>39</v>
      </c>
      <c r="G14" s="43">
        <f t="shared" si="0"/>
        <v>16.5</v>
      </c>
    </row>
    <row r="15" customHeight="1" spans="1:7">
      <c r="A15" s="50">
        <v>43935</v>
      </c>
      <c r="B15" s="51">
        <v>14</v>
      </c>
      <c r="C15" s="51">
        <v>18</v>
      </c>
      <c r="D15" s="52" t="s">
        <v>17</v>
      </c>
      <c r="E15" s="52" t="s">
        <v>26</v>
      </c>
      <c r="F15" s="52" t="s">
        <v>40</v>
      </c>
      <c r="G15" s="43">
        <f t="shared" si="0"/>
        <v>16</v>
      </c>
    </row>
    <row r="16" customHeight="1" spans="1:7">
      <c r="A16" s="50">
        <v>43936</v>
      </c>
      <c r="B16" s="51">
        <v>11</v>
      </c>
      <c r="C16" s="51">
        <v>22</v>
      </c>
      <c r="D16" s="52" t="s">
        <v>41</v>
      </c>
      <c r="E16" s="52" t="s">
        <v>26</v>
      </c>
      <c r="F16" s="52" t="s">
        <v>42</v>
      </c>
      <c r="G16" s="43">
        <f t="shared" si="0"/>
        <v>16.5</v>
      </c>
    </row>
    <row r="17" customHeight="1" spans="1:7">
      <c r="A17" s="50">
        <v>43937</v>
      </c>
      <c r="B17" s="51">
        <v>8</v>
      </c>
      <c r="C17" s="51">
        <v>18</v>
      </c>
      <c r="D17" s="52" t="s">
        <v>43</v>
      </c>
      <c r="E17" s="52" t="s">
        <v>26</v>
      </c>
      <c r="F17" s="52" t="s">
        <v>44</v>
      </c>
      <c r="G17" s="43">
        <f t="shared" si="0"/>
        <v>13</v>
      </c>
    </row>
    <row r="18" customHeight="1" spans="1:7">
      <c r="A18" s="50">
        <v>43938</v>
      </c>
      <c r="B18" s="51">
        <v>9</v>
      </c>
      <c r="C18" s="51">
        <v>18</v>
      </c>
      <c r="D18" s="52" t="s">
        <v>45</v>
      </c>
      <c r="E18" s="52" t="s">
        <v>46</v>
      </c>
      <c r="F18" s="52" t="s">
        <v>44</v>
      </c>
      <c r="G18" s="43">
        <f t="shared" si="0"/>
        <v>13.5</v>
      </c>
    </row>
    <row r="19" customHeight="1" spans="1:7">
      <c r="A19" s="50">
        <v>43939</v>
      </c>
      <c r="B19" s="51">
        <v>10</v>
      </c>
      <c r="C19" s="51">
        <v>16</v>
      </c>
      <c r="D19" s="52" t="s">
        <v>47</v>
      </c>
      <c r="E19" s="52" t="s">
        <v>32</v>
      </c>
      <c r="F19" s="52" t="s">
        <v>48</v>
      </c>
      <c r="G19" s="43">
        <f t="shared" si="0"/>
        <v>13</v>
      </c>
    </row>
    <row r="20" customHeight="1" spans="1:7">
      <c r="A20" s="50">
        <v>43940</v>
      </c>
      <c r="B20" s="51">
        <v>10</v>
      </c>
      <c r="C20" s="51">
        <v>13</v>
      </c>
      <c r="D20" s="52" t="s">
        <v>49</v>
      </c>
      <c r="E20" s="52" t="s">
        <v>18</v>
      </c>
      <c r="F20" s="52" t="s">
        <v>50</v>
      </c>
      <c r="G20" s="43">
        <f t="shared" si="0"/>
        <v>11.5</v>
      </c>
    </row>
    <row r="21" customHeight="1" spans="1:7">
      <c r="A21" s="50">
        <v>43941</v>
      </c>
      <c r="B21" s="51">
        <v>5</v>
      </c>
      <c r="C21" s="51">
        <v>14</v>
      </c>
      <c r="D21" s="52" t="s">
        <v>20</v>
      </c>
      <c r="E21" s="52" t="s">
        <v>46</v>
      </c>
      <c r="F21" s="52" t="s">
        <v>51</v>
      </c>
      <c r="G21" s="43">
        <f t="shared" si="0"/>
        <v>9.5</v>
      </c>
    </row>
    <row r="22" customHeight="1" spans="1:7">
      <c r="A22" s="50">
        <v>43942</v>
      </c>
      <c r="B22" s="51">
        <v>4</v>
      </c>
      <c r="C22" s="51">
        <v>12</v>
      </c>
      <c r="D22" s="52" t="s">
        <v>20</v>
      </c>
      <c r="E22" s="52" t="s">
        <v>15</v>
      </c>
      <c r="F22" s="52" t="s">
        <v>52</v>
      </c>
      <c r="G22" s="43">
        <f t="shared" si="0"/>
        <v>8</v>
      </c>
    </row>
    <row r="23" customHeight="1" spans="1:7">
      <c r="A23" s="50">
        <v>43943</v>
      </c>
      <c r="B23" s="51">
        <v>4</v>
      </c>
      <c r="C23" s="51">
        <v>11</v>
      </c>
      <c r="D23" s="52" t="s">
        <v>20</v>
      </c>
      <c r="E23" s="52" t="s">
        <v>46</v>
      </c>
      <c r="F23" s="52" t="s">
        <v>53</v>
      </c>
      <c r="G23" s="43">
        <f t="shared" si="0"/>
        <v>7.5</v>
      </c>
    </row>
    <row r="24" customHeight="1" spans="1:7">
      <c r="A24" s="50">
        <v>43944</v>
      </c>
      <c r="B24" s="51">
        <v>7</v>
      </c>
      <c r="C24" s="51">
        <v>13</v>
      </c>
      <c r="D24" s="52" t="s">
        <v>20</v>
      </c>
      <c r="E24" s="52" t="s">
        <v>46</v>
      </c>
      <c r="F24" s="52" t="s">
        <v>54</v>
      </c>
      <c r="G24" s="43">
        <f t="shared" si="0"/>
        <v>10</v>
      </c>
    </row>
    <row r="25" customHeight="1" spans="1:7">
      <c r="A25" s="50">
        <v>43945</v>
      </c>
      <c r="B25" s="51">
        <v>11</v>
      </c>
      <c r="C25" s="51">
        <v>18</v>
      </c>
      <c r="D25" s="52" t="s">
        <v>20</v>
      </c>
      <c r="E25" s="52" t="s">
        <v>55</v>
      </c>
      <c r="F25" s="52" t="s">
        <v>40</v>
      </c>
      <c r="G25" s="43">
        <f t="shared" si="0"/>
        <v>14.5</v>
      </c>
    </row>
    <row r="26" customHeight="1" spans="1:7">
      <c r="A26" s="50">
        <v>43946</v>
      </c>
      <c r="B26" s="51">
        <v>9</v>
      </c>
      <c r="C26" s="51">
        <v>15</v>
      </c>
      <c r="D26" s="52" t="s">
        <v>20</v>
      </c>
      <c r="E26" s="52" t="s">
        <v>15</v>
      </c>
      <c r="F26" s="52" t="s">
        <v>56</v>
      </c>
      <c r="G26" s="43">
        <f t="shared" si="0"/>
        <v>12</v>
      </c>
    </row>
    <row r="27" customHeight="1" spans="1:7">
      <c r="A27" s="50">
        <v>43947</v>
      </c>
      <c r="B27" s="51">
        <v>11</v>
      </c>
      <c r="C27" s="51">
        <v>16</v>
      </c>
      <c r="D27" s="52" t="s">
        <v>57</v>
      </c>
      <c r="E27" s="52" t="s">
        <v>32</v>
      </c>
      <c r="F27" s="52" t="s">
        <v>58</v>
      </c>
      <c r="G27" s="43">
        <f t="shared" si="0"/>
        <v>13.5</v>
      </c>
    </row>
    <row r="28" customHeight="1" spans="1:7">
      <c r="A28" s="50">
        <v>43948</v>
      </c>
      <c r="B28" s="51">
        <v>13</v>
      </c>
      <c r="C28" s="51">
        <v>17</v>
      </c>
      <c r="D28" s="52" t="s">
        <v>20</v>
      </c>
      <c r="E28" s="52" t="s">
        <v>18</v>
      </c>
      <c r="F28" s="52" t="s">
        <v>59</v>
      </c>
      <c r="G28" s="43">
        <f t="shared" si="0"/>
        <v>15</v>
      </c>
    </row>
    <row r="29" customHeight="1" spans="1:7">
      <c r="A29" s="50">
        <v>43949</v>
      </c>
      <c r="B29" s="51">
        <v>17</v>
      </c>
      <c r="C29" s="51">
        <v>22</v>
      </c>
      <c r="D29" s="52" t="s">
        <v>20</v>
      </c>
      <c r="E29" s="52" t="s">
        <v>55</v>
      </c>
      <c r="F29" s="52" t="s">
        <v>19</v>
      </c>
      <c r="G29" s="43">
        <f t="shared" si="0"/>
        <v>19.5</v>
      </c>
    </row>
    <row r="30" customHeight="1" spans="1:7">
      <c r="A30" s="50">
        <v>43950</v>
      </c>
      <c r="B30" s="51">
        <v>16</v>
      </c>
      <c r="C30" s="51">
        <v>24</v>
      </c>
      <c r="D30" s="52" t="s">
        <v>20</v>
      </c>
      <c r="E30" s="52" t="s">
        <v>60</v>
      </c>
      <c r="F30" s="52" t="s">
        <v>61</v>
      </c>
      <c r="G30" s="43">
        <f t="shared" si="0"/>
        <v>20</v>
      </c>
    </row>
    <row r="31" customHeight="1" spans="1:7">
      <c r="A31" s="50">
        <v>43951</v>
      </c>
      <c r="B31" s="51">
        <v>17</v>
      </c>
      <c r="C31" s="51">
        <v>25</v>
      </c>
      <c r="D31" s="52" t="s">
        <v>20</v>
      </c>
      <c r="E31" s="52" t="s">
        <v>62</v>
      </c>
      <c r="F31" s="52" t="s">
        <v>63</v>
      </c>
      <c r="G31" s="43">
        <f t="shared" si="0"/>
        <v>21</v>
      </c>
    </row>
    <row r="32" customHeight="1" spans="1:7">
      <c r="A32" s="50">
        <v>43952</v>
      </c>
      <c r="B32" s="51">
        <v>18</v>
      </c>
      <c r="C32" s="51">
        <v>23</v>
      </c>
      <c r="D32" s="52" t="s">
        <v>20</v>
      </c>
      <c r="E32" s="52" t="s">
        <v>60</v>
      </c>
      <c r="F32" s="52" t="s">
        <v>64</v>
      </c>
      <c r="G32" s="43">
        <f t="shared" si="0"/>
        <v>20.5</v>
      </c>
    </row>
    <row r="33" customHeight="1" spans="1:7">
      <c r="A33" s="50">
        <v>43953</v>
      </c>
      <c r="B33" s="51">
        <v>15</v>
      </c>
      <c r="C33" s="51">
        <v>24</v>
      </c>
      <c r="D33" s="52" t="s">
        <v>20</v>
      </c>
      <c r="E33" s="52" t="s">
        <v>29</v>
      </c>
      <c r="F33" s="52" t="s">
        <v>65</v>
      </c>
      <c r="G33" s="43">
        <f t="shared" si="0"/>
        <v>19.5</v>
      </c>
    </row>
    <row r="34" customHeight="1" spans="1:7">
      <c r="A34" s="50">
        <v>43954</v>
      </c>
      <c r="B34" s="51">
        <v>12</v>
      </c>
      <c r="C34" s="51">
        <v>21</v>
      </c>
      <c r="D34" s="52" t="s">
        <v>66</v>
      </c>
      <c r="E34" s="52" t="s">
        <v>67</v>
      </c>
      <c r="F34" s="52" t="s">
        <v>68</v>
      </c>
      <c r="G34" s="43">
        <f t="shared" si="0"/>
        <v>16.5</v>
      </c>
    </row>
    <row r="35" customHeight="1" spans="1:7">
      <c r="A35" s="50">
        <v>43955</v>
      </c>
      <c r="B35" s="51">
        <v>11</v>
      </c>
      <c r="C35" s="51">
        <v>14</v>
      </c>
      <c r="D35" s="52" t="s">
        <v>47</v>
      </c>
      <c r="E35" s="52" t="s">
        <v>69</v>
      </c>
      <c r="F35" s="52" t="s">
        <v>70</v>
      </c>
      <c r="G35" s="43">
        <f t="shared" si="0"/>
        <v>12.5</v>
      </c>
    </row>
    <row r="36" customHeight="1" spans="1:7">
      <c r="A36" s="50">
        <v>43956</v>
      </c>
      <c r="B36" s="51">
        <v>14</v>
      </c>
      <c r="C36" s="51">
        <v>20</v>
      </c>
      <c r="D36" s="52" t="s">
        <v>17</v>
      </c>
      <c r="E36" s="52" t="s">
        <v>35</v>
      </c>
      <c r="F36" s="52" t="s">
        <v>71</v>
      </c>
      <c r="G36" s="43">
        <f t="shared" si="0"/>
        <v>17</v>
      </c>
    </row>
    <row r="37" customHeight="1" spans="1:7">
      <c r="A37" s="50">
        <v>43957</v>
      </c>
      <c r="B37" s="51">
        <v>16</v>
      </c>
      <c r="C37" s="51">
        <v>25</v>
      </c>
      <c r="D37" s="52" t="s">
        <v>45</v>
      </c>
      <c r="E37" s="52" t="s">
        <v>29</v>
      </c>
      <c r="F37" s="52" t="s">
        <v>40</v>
      </c>
      <c r="G37" s="43">
        <f t="shared" si="0"/>
        <v>20.5</v>
      </c>
    </row>
    <row r="38" customHeight="1" spans="1:7">
      <c r="A38" s="50">
        <v>43958</v>
      </c>
      <c r="B38" s="51">
        <v>13</v>
      </c>
      <c r="C38" s="51">
        <v>20</v>
      </c>
      <c r="D38" s="52" t="s">
        <v>72</v>
      </c>
      <c r="E38" s="52" t="s">
        <v>32</v>
      </c>
      <c r="F38" s="52" t="s">
        <v>38</v>
      </c>
      <c r="G38" s="43">
        <f t="shared" si="0"/>
        <v>16.5</v>
      </c>
    </row>
    <row r="39" customHeight="1" spans="1:7">
      <c r="A39" s="50">
        <v>43959</v>
      </c>
      <c r="B39" s="51">
        <v>10</v>
      </c>
      <c r="C39" s="51">
        <v>12</v>
      </c>
      <c r="D39" s="52" t="s">
        <v>73</v>
      </c>
      <c r="E39" s="52" t="s">
        <v>15</v>
      </c>
      <c r="F39" s="52" t="s">
        <v>74</v>
      </c>
      <c r="G39" s="43">
        <f t="shared" si="0"/>
        <v>11</v>
      </c>
    </row>
    <row r="40" customHeight="1" spans="1:7">
      <c r="A40" s="50">
        <v>43960</v>
      </c>
      <c r="B40" s="51">
        <v>8</v>
      </c>
      <c r="C40" s="51">
        <v>11</v>
      </c>
      <c r="D40" s="52" t="s">
        <v>73</v>
      </c>
      <c r="E40" s="52" t="s">
        <v>46</v>
      </c>
      <c r="F40" s="52" t="s">
        <v>75</v>
      </c>
      <c r="G40" s="43">
        <f t="shared" si="0"/>
        <v>9.5</v>
      </c>
    </row>
    <row r="41" customHeight="1" spans="1:7">
      <c r="A41" s="50">
        <v>43961</v>
      </c>
      <c r="B41" s="51">
        <v>9</v>
      </c>
      <c r="C41" s="51">
        <v>20</v>
      </c>
      <c r="D41" s="52" t="s">
        <v>66</v>
      </c>
      <c r="E41" s="52" t="s">
        <v>76</v>
      </c>
      <c r="F41" s="52" t="s">
        <v>53</v>
      </c>
      <c r="G41" s="43">
        <f t="shared" si="0"/>
        <v>14.5</v>
      </c>
    </row>
    <row r="42" customHeight="1" spans="1:7">
      <c r="A42" s="50">
        <v>43962</v>
      </c>
      <c r="B42" s="51">
        <v>9</v>
      </c>
      <c r="C42" s="51">
        <v>15</v>
      </c>
      <c r="D42" s="52" t="s">
        <v>43</v>
      </c>
      <c r="E42" s="52" t="s">
        <v>26</v>
      </c>
      <c r="F42" s="52" t="s">
        <v>19</v>
      </c>
      <c r="G42" s="43">
        <f t="shared" si="0"/>
        <v>12</v>
      </c>
    </row>
    <row r="43" customHeight="1" spans="1:7">
      <c r="A43" s="50">
        <v>43963</v>
      </c>
      <c r="B43" s="51">
        <v>13</v>
      </c>
      <c r="C43" s="51">
        <v>17</v>
      </c>
      <c r="D43" s="52" t="s">
        <v>20</v>
      </c>
      <c r="E43" s="52" t="s">
        <v>77</v>
      </c>
      <c r="F43" s="52" t="s">
        <v>78</v>
      </c>
      <c r="G43" s="43">
        <f t="shared" si="0"/>
        <v>15</v>
      </c>
    </row>
    <row r="44" customHeight="1" spans="1:7">
      <c r="A44" s="50">
        <v>43964</v>
      </c>
      <c r="B44" s="51">
        <v>16</v>
      </c>
      <c r="C44" s="51">
        <v>24</v>
      </c>
      <c r="D44" s="52" t="s">
        <v>28</v>
      </c>
      <c r="E44" s="52" t="s">
        <v>55</v>
      </c>
      <c r="F44" s="52" t="s">
        <v>79</v>
      </c>
      <c r="G44" s="43">
        <f t="shared" si="0"/>
        <v>20</v>
      </c>
    </row>
    <row r="45" customHeight="1" spans="1:8">
      <c r="A45" s="50">
        <v>43965</v>
      </c>
      <c r="B45" s="51">
        <v>1</v>
      </c>
      <c r="C45" s="51">
        <v>3</v>
      </c>
      <c r="D45" s="52" t="s">
        <v>80</v>
      </c>
      <c r="E45" s="52" t="s">
        <v>62</v>
      </c>
      <c r="F45" s="52" t="s">
        <v>81</v>
      </c>
      <c r="G45" s="43">
        <f t="shared" si="0"/>
        <v>2</v>
      </c>
      <c r="H45" s="53" t="s">
        <v>82</v>
      </c>
    </row>
    <row r="46" customHeight="1" spans="1:7">
      <c r="A46" s="50">
        <v>43966</v>
      </c>
      <c r="B46" s="51">
        <v>18</v>
      </c>
      <c r="C46" s="51">
        <v>20</v>
      </c>
      <c r="D46" s="52" t="s">
        <v>20</v>
      </c>
      <c r="E46" s="52" t="s">
        <v>35</v>
      </c>
      <c r="F46" s="52" t="s">
        <v>79</v>
      </c>
      <c r="G46" s="43">
        <f t="shared" si="0"/>
        <v>19</v>
      </c>
    </row>
    <row r="47" customHeight="1" spans="1:7">
      <c r="A47" s="50">
        <v>43967</v>
      </c>
      <c r="B47" s="51">
        <v>12</v>
      </c>
      <c r="C47" s="51">
        <v>23</v>
      </c>
      <c r="D47" s="52" t="s">
        <v>83</v>
      </c>
      <c r="E47" s="52" t="s">
        <v>55</v>
      </c>
      <c r="F47" s="52" t="s">
        <v>84</v>
      </c>
      <c r="G47" s="43">
        <f t="shared" si="0"/>
        <v>17.5</v>
      </c>
    </row>
    <row r="48" customHeight="1" spans="1:7">
      <c r="A48" s="50">
        <v>43968</v>
      </c>
      <c r="B48" s="51">
        <v>7</v>
      </c>
      <c r="C48" s="51">
        <v>22</v>
      </c>
      <c r="D48" s="52" t="s">
        <v>66</v>
      </c>
      <c r="E48" s="52" t="s">
        <v>15</v>
      </c>
      <c r="F48" s="52" t="s">
        <v>85</v>
      </c>
      <c r="G48" s="43">
        <f t="shared" si="0"/>
        <v>14.5</v>
      </c>
    </row>
    <row r="49" customHeight="1" spans="1:7">
      <c r="A49" s="50">
        <v>43969</v>
      </c>
      <c r="B49" s="51">
        <v>10</v>
      </c>
      <c r="C49" s="51">
        <v>14</v>
      </c>
      <c r="D49" s="52" t="s">
        <v>20</v>
      </c>
      <c r="E49" s="52" t="s">
        <v>86</v>
      </c>
      <c r="F49" s="52" t="s">
        <v>87</v>
      </c>
      <c r="G49" s="43">
        <f t="shared" si="0"/>
        <v>12</v>
      </c>
    </row>
    <row r="50" customHeight="1" spans="1:7">
      <c r="A50" s="50">
        <v>43970</v>
      </c>
      <c r="B50" s="51">
        <v>14</v>
      </c>
      <c r="C50" s="51">
        <v>21</v>
      </c>
      <c r="D50" s="52" t="s">
        <v>20</v>
      </c>
      <c r="E50" s="52" t="s">
        <v>37</v>
      </c>
      <c r="F50" s="52" t="s">
        <v>88</v>
      </c>
      <c r="G50" s="43">
        <f t="shared" si="0"/>
        <v>17.5</v>
      </c>
    </row>
    <row r="51" customHeight="1" spans="1:7">
      <c r="A51" s="50">
        <v>43971</v>
      </c>
      <c r="B51" s="51">
        <v>18</v>
      </c>
      <c r="C51" s="51">
        <v>25</v>
      </c>
      <c r="D51" s="52" t="s">
        <v>23</v>
      </c>
      <c r="E51" s="52" t="s">
        <v>62</v>
      </c>
      <c r="F51" s="52" t="s">
        <v>89</v>
      </c>
      <c r="G51" s="43">
        <f t="shared" si="0"/>
        <v>21.5</v>
      </c>
    </row>
    <row r="52" customHeight="1" spans="1:7">
      <c r="A52" s="50">
        <v>43972</v>
      </c>
      <c r="B52" s="51">
        <v>16</v>
      </c>
      <c r="C52" s="51">
        <v>25</v>
      </c>
      <c r="D52" s="52" t="s">
        <v>45</v>
      </c>
      <c r="E52" s="52" t="s">
        <v>55</v>
      </c>
      <c r="F52" s="52" t="s">
        <v>90</v>
      </c>
      <c r="G52" s="43">
        <f t="shared" si="0"/>
        <v>20.5</v>
      </c>
    </row>
    <row r="53" customHeight="1" spans="1:7">
      <c r="A53" s="50">
        <v>43973</v>
      </c>
      <c r="B53" s="51">
        <v>17</v>
      </c>
      <c r="C53" s="51">
        <v>24</v>
      </c>
      <c r="D53" s="52" t="s">
        <v>20</v>
      </c>
      <c r="E53" s="52" t="s">
        <v>91</v>
      </c>
      <c r="F53" s="52" t="s">
        <v>63</v>
      </c>
      <c r="G53" s="43">
        <f t="shared" si="0"/>
        <v>20.5</v>
      </c>
    </row>
    <row r="54" customHeight="1" spans="1:7">
      <c r="A54" s="50">
        <v>43974</v>
      </c>
      <c r="B54" s="51">
        <v>13</v>
      </c>
      <c r="C54" s="51">
        <v>22</v>
      </c>
      <c r="D54" s="52" t="s">
        <v>57</v>
      </c>
      <c r="E54" s="52" t="s">
        <v>55</v>
      </c>
      <c r="F54" s="52" t="s">
        <v>21</v>
      </c>
      <c r="G54" s="43">
        <f t="shared" si="0"/>
        <v>17.5</v>
      </c>
    </row>
    <row r="55" customHeight="1" spans="1:7">
      <c r="A55" s="50">
        <v>43975</v>
      </c>
      <c r="B55" s="51">
        <v>15</v>
      </c>
      <c r="C55" s="51">
        <v>21</v>
      </c>
      <c r="D55" s="52" t="s">
        <v>57</v>
      </c>
      <c r="E55" s="52" t="s">
        <v>37</v>
      </c>
      <c r="F55" s="52" t="s">
        <v>38</v>
      </c>
      <c r="G55" s="43">
        <f t="shared" si="0"/>
        <v>18</v>
      </c>
    </row>
    <row r="56" customHeight="1" spans="1:7">
      <c r="A56" s="50">
        <v>43976</v>
      </c>
      <c r="B56" s="51">
        <v>11</v>
      </c>
      <c r="C56" s="51">
        <v>24</v>
      </c>
      <c r="D56" s="52" t="s">
        <v>83</v>
      </c>
      <c r="E56" s="52" t="s">
        <v>92</v>
      </c>
      <c r="F56" s="52" t="s">
        <v>30</v>
      </c>
      <c r="G56" s="43">
        <f t="shared" si="0"/>
        <v>17.5</v>
      </c>
    </row>
    <row r="57" customHeight="1" spans="1:7">
      <c r="A57" s="50">
        <v>43977</v>
      </c>
      <c r="B57" s="51">
        <v>15</v>
      </c>
      <c r="C57" s="51">
        <v>18</v>
      </c>
      <c r="D57" s="52" t="s">
        <v>57</v>
      </c>
      <c r="E57" s="52" t="s">
        <v>35</v>
      </c>
      <c r="F57" s="52" t="s">
        <v>50</v>
      </c>
      <c r="G57" s="43">
        <f t="shared" si="0"/>
        <v>16.5</v>
      </c>
    </row>
    <row r="58" customHeight="1" spans="1:7">
      <c r="A58" s="50">
        <v>43978</v>
      </c>
      <c r="B58" s="51">
        <v>15</v>
      </c>
      <c r="C58" s="51">
        <v>22</v>
      </c>
      <c r="D58" s="52" t="s">
        <v>23</v>
      </c>
      <c r="E58" s="52" t="s">
        <v>26</v>
      </c>
      <c r="F58" s="52" t="s">
        <v>93</v>
      </c>
      <c r="G58" s="43">
        <f t="shared" si="0"/>
        <v>18.5</v>
      </c>
    </row>
    <row r="59" customHeight="1" spans="1:7">
      <c r="A59" s="50">
        <v>43979</v>
      </c>
      <c r="B59" s="51">
        <v>22</v>
      </c>
      <c r="C59" s="51">
        <v>27</v>
      </c>
      <c r="D59" s="52" t="s">
        <v>20</v>
      </c>
      <c r="E59" s="52" t="s">
        <v>62</v>
      </c>
      <c r="F59" s="52" t="s">
        <v>94</v>
      </c>
      <c r="G59" s="43">
        <f t="shared" si="0"/>
        <v>24.5</v>
      </c>
    </row>
    <row r="60" customHeight="1" spans="1:7">
      <c r="A60" s="50">
        <v>43980</v>
      </c>
      <c r="B60" s="51">
        <v>17</v>
      </c>
      <c r="C60" s="51">
        <v>26</v>
      </c>
      <c r="D60" s="52" t="s">
        <v>80</v>
      </c>
      <c r="E60" s="52" t="s">
        <v>60</v>
      </c>
      <c r="F60" s="52" t="s">
        <v>87</v>
      </c>
      <c r="G60" s="43">
        <f t="shared" si="0"/>
        <v>21.5</v>
      </c>
    </row>
    <row r="61" customHeight="1" spans="1:7">
      <c r="A61" s="50">
        <v>43981</v>
      </c>
      <c r="B61" s="51">
        <v>13</v>
      </c>
      <c r="C61" s="51">
        <v>17</v>
      </c>
      <c r="D61" s="52" t="s">
        <v>25</v>
      </c>
      <c r="E61" s="52" t="s">
        <v>95</v>
      </c>
      <c r="F61" s="52" t="s">
        <v>58</v>
      </c>
      <c r="G61" s="43">
        <f t="shared" si="0"/>
        <v>15</v>
      </c>
    </row>
    <row r="62" customHeight="1" spans="1:7">
      <c r="A62" s="50">
        <v>43982</v>
      </c>
      <c r="B62" s="51">
        <v>18</v>
      </c>
      <c r="C62" s="51">
        <v>22</v>
      </c>
      <c r="D62" s="52" t="s">
        <v>17</v>
      </c>
      <c r="E62" s="52" t="s">
        <v>91</v>
      </c>
      <c r="F62" s="52" t="s">
        <v>51</v>
      </c>
      <c r="G62" s="43">
        <f t="shared" si="0"/>
        <v>20</v>
      </c>
    </row>
    <row r="63" customHeight="1" spans="1:7">
      <c r="A63" s="50">
        <v>43983</v>
      </c>
      <c r="B63" s="51">
        <v>17</v>
      </c>
      <c r="C63" s="51">
        <v>23</v>
      </c>
      <c r="D63" s="52" t="s">
        <v>49</v>
      </c>
      <c r="E63" s="52" t="s">
        <v>62</v>
      </c>
      <c r="F63" s="52" t="s">
        <v>39</v>
      </c>
      <c r="G63" s="43">
        <f t="shared" si="0"/>
        <v>20</v>
      </c>
    </row>
    <row r="64" customHeight="1" spans="1:7">
      <c r="A64" s="50">
        <v>43984</v>
      </c>
      <c r="B64" s="51">
        <v>19</v>
      </c>
      <c r="C64" s="51">
        <v>24</v>
      </c>
      <c r="D64" s="52" t="s">
        <v>17</v>
      </c>
      <c r="E64" s="52" t="s">
        <v>26</v>
      </c>
      <c r="F64" s="52" t="s">
        <v>22</v>
      </c>
      <c r="G64" s="43">
        <f t="shared" si="0"/>
        <v>21.5</v>
      </c>
    </row>
    <row r="65" customHeight="1" spans="1:7">
      <c r="A65" s="50">
        <v>43985</v>
      </c>
      <c r="B65" s="51">
        <v>23</v>
      </c>
      <c r="C65" s="51">
        <v>33</v>
      </c>
      <c r="D65" s="52" t="s">
        <v>20</v>
      </c>
      <c r="E65" s="52" t="s">
        <v>26</v>
      </c>
      <c r="F65" s="52" t="s">
        <v>96</v>
      </c>
      <c r="G65" s="43">
        <f t="shared" si="0"/>
        <v>28</v>
      </c>
    </row>
    <row r="66" customHeight="1" spans="1:7">
      <c r="A66" s="50">
        <v>43986</v>
      </c>
      <c r="B66" s="51">
        <v>21</v>
      </c>
      <c r="C66" s="51">
        <v>35</v>
      </c>
      <c r="D66" s="52" t="s">
        <v>45</v>
      </c>
      <c r="E66" s="52" t="s">
        <v>67</v>
      </c>
      <c r="F66" s="52" t="s">
        <v>97</v>
      </c>
      <c r="G66" s="43">
        <f t="shared" si="0"/>
        <v>28</v>
      </c>
    </row>
    <row r="67" customHeight="1" spans="1:7">
      <c r="A67" s="50">
        <v>43987</v>
      </c>
      <c r="B67" s="51">
        <v>17</v>
      </c>
      <c r="C67" s="51">
        <v>24</v>
      </c>
      <c r="D67" s="52" t="s">
        <v>80</v>
      </c>
      <c r="E67" s="52" t="s">
        <v>35</v>
      </c>
      <c r="F67" s="52" t="s">
        <v>98</v>
      </c>
      <c r="G67" s="43">
        <f t="shared" ref="G67:G130" si="1">AVERAGE(B67,C67)</f>
        <v>20.5</v>
      </c>
    </row>
    <row r="68" customHeight="1" spans="1:7">
      <c r="A68" s="50">
        <v>43988</v>
      </c>
      <c r="B68" s="51">
        <v>21</v>
      </c>
      <c r="C68" s="51">
        <v>27</v>
      </c>
      <c r="D68" s="52" t="s">
        <v>23</v>
      </c>
      <c r="E68" s="52" t="s">
        <v>76</v>
      </c>
      <c r="F68" s="52" t="s">
        <v>99</v>
      </c>
      <c r="G68" s="43">
        <f t="shared" si="1"/>
        <v>24</v>
      </c>
    </row>
    <row r="69" customHeight="1" spans="1:7">
      <c r="A69" s="50">
        <v>43989</v>
      </c>
      <c r="B69" s="51">
        <v>24</v>
      </c>
      <c r="C69" s="51">
        <v>35</v>
      </c>
      <c r="D69" s="52" t="s">
        <v>23</v>
      </c>
      <c r="E69" s="52" t="s">
        <v>26</v>
      </c>
      <c r="F69" s="52" t="s">
        <v>70</v>
      </c>
      <c r="G69" s="43">
        <f t="shared" si="1"/>
        <v>29.5</v>
      </c>
    </row>
    <row r="70" customHeight="1" spans="1:7">
      <c r="A70" s="50">
        <v>43990</v>
      </c>
      <c r="B70" s="51">
        <v>22</v>
      </c>
      <c r="C70" s="51">
        <v>36</v>
      </c>
      <c r="D70" s="52" t="s">
        <v>57</v>
      </c>
      <c r="E70" s="52" t="s">
        <v>62</v>
      </c>
      <c r="F70" s="52" t="s">
        <v>100</v>
      </c>
      <c r="G70" s="43">
        <f t="shared" si="1"/>
        <v>29</v>
      </c>
    </row>
    <row r="71" customHeight="1" spans="1:7">
      <c r="A71" s="50">
        <v>43991</v>
      </c>
      <c r="B71" s="51">
        <v>19</v>
      </c>
      <c r="C71" s="51">
        <v>21</v>
      </c>
      <c r="D71" s="52" t="s">
        <v>31</v>
      </c>
      <c r="E71" s="52" t="s">
        <v>92</v>
      </c>
      <c r="F71" s="52" t="s">
        <v>78</v>
      </c>
      <c r="G71" s="43">
        <f t="shared" si="1"/>
        <v>20</v>
      </c>
    </row>
    <row r="72" customHeight="1" spans="1:7">
      <c r="A72" s="50">
        <v>43992</v>
      </c>
      <c r="B72" s="51">
        <v>18</v>
      </c>
      <c r="C72" s="51">
        <v>27</v>
      </c>
      <c r="D72" s="52" t="s">
        <v>17</v>
      </c>
      <c r="E72" s="52" t="s">
        <v>35</v>
      </c>
      <c r="F72" s="52" t="s">
        <v>59</v>
      </c>
      <c r="G72" s="43">
        <f t="shared" si="1"/>
        <v>22.5</v>
      </c>
    </row>
    <row r="73" customHeight="1" spans="1:7">
      <c r="A73" s="50">
        <v>43993</v>
      </c>
      <c r="B73" s="51">
        <v>19</v>
      </c>
      <c r="C73" s="51">
        <v>36</v>
      </c>
      <c r="D73" s="52" t="s">
        <v>25</v>
      </c>
      <c r="E73" s="52" t="s">
        <v>32</v>
      </c>
      <c r="F73" s="52" t="s">
        <v>40</v>
      </c>
      <c r="G73" s="43">
        <f t="shared" si="1"/>
        <v>27.5</v>
      </c>
    </row>
    <row r="74" customHeight="1" spans="1:7">
      <c r="A74" s="50">
        <v>43994</v>
      </c>
      <c r="B74" s="51">
        <v>16</v>
      </c>
      <c r="C74" s="51">
        <v>24</v>
      </c>
      <c r="D74" s="52" t="s">
        <v>80</v>
      </c>
      <c r="E74" s="52" t="s">
        <v>29</v>
      </c>
      <c r="F74" s="52" t="s">
        <v>101</v>
      </c>
      <c r="G74" s="43">
        <f t="shared" si="1"/>
        <v>20</v>
      </c>
    </row>
    <row r="75" customHeight="1" spans="1:7">
      <c r="A75" s="50">
        <v>43995</v>
      </c>
      <c r="B75" s="51">
        <v>18</v>
      </c>
      <c r="C75" s="51">
        <v>26</v>
      </c>
      <c r="D75" s="52" t="s">
        <v>57</v>
      </c>
      <c r="E75" s="52" t="s">
        <v>92</v>
      </c>
      <c r="F75" s="52" t="s">
        <v>39</v>
      </c>
      <c r="G75" s="43">
        <f t="shared" si="1"/>
        <v>22</v>
      </c>
    </row>
    <row r="76" customHeight="1" spans="1:7">
      <c r="A76" s="50">
        <v>43996</v>
      </c>
      <c r="B76" s="51">
        <v>19</v>
      </c>
      <c r="C76" s="51">
        <v>27</v>
      </c>
      <c r="D76" s="52" t="s">
        <v>20</v>
      </c>
      <c r="E76" s="52" t="s">
        <v>15</v>
      </c>
      <c r="F76" s="52" t="s">
        <v>102</v>
      </c>
      <c r="G76" s="43">
        <f t="shared" si="1"/>
        <v>23</v>
      </c>
    </row>
    <row r="77" customHeight="1" spans="1:7">
      <c r="A77" s="50">
        <v>43997</v>
      </c>
      <c r="B77" s="51">
        <v>20</v>
      </c>
      <c r="C77" s="51">
        <v>27</v>
      </c>
      <c r="D77" s="52" t="s">
        <v>57</v>
      </c>
      <c r="E77" s="52" t="s">
        <v>32</v>
      </c>
      <c r="F77" s="52" t="s">
        <v>81</v>
      </c>
      <c r="G77" s="43">
        <f t="shared" si="1"/>
        <v>23.5</v>
      </c>
    </row>
    <row r="78" customHeight="1" spans="1:7">
      <c r="A78" s="50">
        <v>43998</v>
      </c>
      <c r="B78" s="51">
        <v>16</v>
      </c>
      <c r="C78" s="51">
        <v>26</v>
      </c>
      <c r="D78" s="52" t="s">
        <v>31</v>
      </c>
      <c r="E78" s="52" t="s">
        <v>18</v>
      </c>
      <c r="F78" s="52" t="s">
        <v>81</v>
      </c>
      <c r="G78" s="43">
        <f t="shared" si="1"/>
        <v>21</v>
      </c>
    </row>
    <row r="79" customHeight="1" spans="1:7">
      <c r="A79" s="50">
        <v>43999</v>
      </c>
      <c r="B79" s="51">
        <v>13</v>
      </c>
      <c r="C79" s="51">
        <v>17</v>
      </c>
      <c r="D79" s="52" t="s">
        <v>73</v>
      </c>
      <c r="E79" s="52" t="s">
        <v>32</v>
      </c>
      <c r="F79" s="52" t="s">
        <v>88</v>
      </c>
      <c r="G79" s="43">
        <f t="shared" si="1"/>
        <v>15</v>
      </c>
    </row>
    <row r="80" customHeight="1" spans="1:7">
      <c r="A80" s="50">
        <v>44000</v>
      </c>
      <c r="B80" s="51">
        <v>13</v>
      </c>
      <c r="C80" s="51">
        <v>17</v>
      </c>
      <c r="D80" s="52" t="s">
        <v>49</v>
      </c>
      <c r="E80" s="52" t="s">
        <v>103</v>
      </c>
      <c r="F80" s="52" t="s">
        <v>104</v>
      </c>
      <c r="G80" s="43">
        <f t="shared" si="1"/>
        <v>15</v>
      </c>
    </row>
    <row r="81" customHeight="1" spans="1:7">
      <c r="A81" s="50">
        <v>44001</v>
      </c>
      <c r="B81" s="51">
        <v>18</v>
      </c>
      <c r="C81" s="51">
        <v>24</v>
      </c>
      <c r="D81" s="52" t="s">
        <v>80</v>
      </c>
      <c r="E81" s="52" t="s">
        <v>92</v>
      </c>
      <c r="F81" s="52" t="s">
        <v>19</v>
      </c>
      <c r="G81" s="43">
        <f t="shared" si="1"/>
        <v>21</v>
      </c>
    </row>
    <row r="82" customHeight="1" spans="1:7">
      <c r="A82" s="50">
        <v>44002</v>
      </c>
      <c r="B82" s="51">
        <v>17</v>
      </c>
      <c r="C82" s="51">
        <v>26</v>
      </c>
      <c r="D82" s="52" t="s">
        <v>23</v>
      </c>
      <c r="E82" s="52" t="s">
        <v>62</v>
      </c>
      <c r="F82" s="52" t="s">
        <v>102</v>
      </c>
      <c r="G82" s="43">
        <f t="shared" si="1"/>
        <v>21.5</v>
      </c>
    </row>
    <row r="83" customHeight="1" spans="1:7">
      <c r="A83" s="50">
        <v>44003</v>
      </c>
      <c r="B83" s="51">
        <v>17</v>
      </c>
      <c r="C83" s="51">
        <v>26</v>
      </c>
      <c r="D83" s="52" t="s">
        <v>20</v>
      </c>
      <c r="E83" s="52" t="s">
        <v>62</v>
      </c>
      <c r="F83" s="52" t="s">
        <v>105</v>
      </c>
      <c r="G83" s="43">
        <f t="shared" si="1"/>
        <v>21.5</v>
      </c>
    </row>
    <row r="84" customHeight="1" spans="1:7">
      <c r="A84" s="50">
        <v>44004</v>
      </c>
      <c r="B84" s="51">
        <v>15</v>
      </c>
      <c r="C84" s="51">
        <v>25</v>
      </c>
      <c r="D84" s="52" t="s">
        <v>47</v>
      </c>
      <c r="E84" s="52" t="s">
        <v>62</v>
      </c>
      <c r="F84" s="52" t="s">
        <v>58</v>
      </c>
      <c r="G84" s="43">
        <f t="shared" si="1"/>
        <v>20</v>
      </c>
    </row>
    <row r="85" customHeight="1" spans="1:7">
      <c r="A85" s="50">
        <v>44005</v>
      </c>
      <c r="B85" s="51">
        <v>16</v>
      </c>
      <c r="C85" s="51">
        <v>22</v>
      </c>
      <c r="D85" s="52" t="s">
        <v>73</v>
      </c>
      <c r="E85" s="52" t="s">
        <v>35</v>
      </c>
      <c r="F85" s="52" t="s">
        <v>106</v>
      </c>
      <c r="G85" s="43">
        <f t="shared" si="1"/>
        <v>19</v>
      </c>
    </row>
    <row r="86" customHeight="1" spans="1:7">
      <c r="A86" s="50">
        <v>44006</v>
      </c>
      <c r="B86" s="51">
        <v>17</v>
      </c>
      <c r="C86" s="51">
        <v>21</v>
      </c>
      <c r="D86" s="52" t="s">
        <v>80</v>
      </c>
      <c r="E86" s="52" t="s">
        <v>35</v>
      </c>
      <c r="F86" s="52" t="s">
        <v>107</v>
      </c>
      <c r="G86" s="43">
        <f t="shared" si="1"/>
        <v>19</v>
      </c>
    </row>
    <row r="87" customHeight="1" spans="1:7">
      <c r="A87" s="50">
        <v>44007</v>
      </c>
      <c r="B87" s="51">
        <v>17</v>
      </c>
      <c r="C87" s="51">
        <v>25</v>
      </c>
      <c r="D87" s="52" t="s">
        <v>83</v>
      </c>
      <c r="E87" s="52" t="s">
        <v>32</v>
      </c>
      <c r="F87" s="52" t="s">
        <v>108</v>
      </c>
      <c r="G87" s="43">
        <f t="shared" si="1"/>
        <v>21</v>
      </c>
    </row>
    <row r="88" customHeight="1" spans="1:7">
      <c r="A88" s="50">
        <v>44008</v>
      </c>
      <c r="B88" s="51">
        <v>19</v>
      </c>
      <c r="C88" s="51">
        <v>23</v>
      </c>
      <c r="D88" s="52" t="s">
        <v>109</v>
      </c>
      <c r="E88" s="52" t="s">
        <v>26</v>
      </c>
      <c r="F88" s="52" t="s">
        <v>110</v>
      </c>
      <c r="G88" s="43">
        <f t="shared" si="1"/>
        <v>21</v>
      </c>
    </row>
    <row r="89" customHeight="1" spans="1:7">
      <c r="A89" s="50">
        <v>44009</v>
      </c>
      <c r="B89" s="51">
        <v>20</v>
      </c>
      <c r="C89" s="51">
        <v>28</v>
      </c>
      <c r="D89" s="52" t="s">
        <v>57</v>
      </c>
      <c r="E89" s="52" t="s">
        <v>35</v>
      </c>
      <c r="F89" s="52" t="s">
        <v>65</v>
      </c>
      <c r="G89" s="43">
        <f t="shared" si="1"/>
        <v>24</v>
      </c>
    </row>
    <row r="90" customHeight="1" spans="1:7">
      <c r="A90" s="50">
        <v>44010</v>
      </c>
      <c r="B90" s="51">
        <v>19</v>
      </c>
      <c r="C90" s="51">
        <v>25</v>
      </c>
      <c r="D90" s="52" t="s">
        <v>49</v>
      </c>
      <c r="E90" s="52" t="s">
        <v>32</v>
      </c>
      <c r="F90" s="52" t="s">
        <v>22</v>
      </c>
      <c r="G90" s="43">
        <f t="shared" si="1"/>
        <v>22</v>
      </c>
    </row>
    <row r="91" customHeight="1" spans="1:7">
      <c r="A91" s="50">
        <v>44011</v>
      </c>
      <c r="B91" s="51">
        <v>17</v>
      </c>
      <c r="C91" s="51">
        <v>22</v>
      </c>
      <c r="D91" s="52" t="s">
        <v>111</v>
      </c>
      <c r="E91" s="52" t="s">
        <v>35</v>
      </c>
      <c r="F91" s="52" t="s">
        <v>112</v>
      </c>
      <c r="G91" s="43">
        <f t="shared" si="1"/>
        <v>19.5</v>
      </c>
    </row>
    <row r="92" customHeight="1" spans="1:7">
      <c r="A92" s="50">
        <v>44012</v>
      </c>
      <c r="B92" s="51">
        <v>15</v>
      </c>
      <c r="C92" s="51">
        <v>21</v>
      </c>
      <c r="D92" s="52" t="s">
        <v>43</v>
      </c>
      <c r="E92" s="52" t="s">
        <v>113</v>
      </c>
      <c r="F92" s="52" t="s">
        <v>42</v>
      </c>
      <c r="G92" s="43">
        <f t="shared" si="1"/>
        <v>18</v>
      </c>
    </row>
    <row r="93" customHeight="1" spans="1:7">
      <c r="A93" s="50">
        <v>44013</v>
      </c>
      <c r="B93" s="51">
        <v>18</v>
      </c>
      <c r="C93" s="51">
        <v>26</v>
      </c>
      <c r="D93" s="52" t="s">
        <v>57</v>
      </c>
      <c r="E93" s="52" t="s">
        <v>92</v>
      </c>
      <c r="F93" s="52" t="s">
        <v>81</v>
      </c>
      <c r="G93" s="43">
        <f t="shared" si="1"/>
        <v>22</v>
      </c>
    </row>
    <row r="94" customHeight="1" spans="1:7">
      <c r="A94" s="50">
        <v>44014</v>
      </c>
      <c r="B94" s="51">
        <v>17</v>
      </c>
      <c r="C94" s="51">
        <v>25</v>
      </c>
      <c r="D94" s="52" t="s">
        <v>114</v>
      </c>
      <c r="E94" s="52" t="s">
        <v>29</v>
      </c>
      <c r="F94" s="52" t="s">
        <v>110</v>
      </c>
      <c r="G94" s="43">
        <f t="shared" si="1"/>
        <v>21</v>
      </c>
    </row>
    <row r="95" customHeight="1" spans="1:7">
      <c r="A95" s="50">
        <v>44015</v>
      </c>
      <c r="B95" s="51">
        <v>17</v>
      </c>
      <c r="C95" s="51">
        <v>21</v>
      </c>
      <c r="D95" s="52" t="s">
        <v>115</v>
      </c>
      <c r="E95" s="52" t="s">
        <v>29</v>
      </c>
      <c r="F95" s="52" t="s">
        <v>116</v>
      </c>
      <c r="G95" s="43">
        <f t="shared" si="1"/>
        <v>19</v>
      </c>
    </row>
    <row r="96" customHeight="1" spans="1:7">
      <c r="A96" s="50">
        <v>44016</v>
      </c>
      <c r="B96" s="51">
        <v>16</v>
      </c>
      <c r="C96" s="51">
        <v>21</v>
      </c>
      <c r="D96" s="52" t="s">
        <v>83</v>
      </c>
      <c r="E96" s="52" t="s">
        <v>62</v>
      </c>
      <c r="F96" s="52" t="s">
        <v>34</v>
      </c>
      <c r="G96" s="43">
        <f t="shared" si="1"/>
        <v>18.5</v>
      </c>
    </row>
    <row r="97" customHeight="1" spans="1:7">
      <c r="A97" s="50">
        <v>44017</v>
      </c>
      <c r="B97" s="51">
        <v>19</v>
      </c>
      <c r="C97" s="51">
        <v>23</v>
      </c>
      <c r="D97" s="52" t="s">
        <v>117</v>
      </c>
      <c r="E97" s="52" t="s">
        <v>26</v>
      </c>
      <c r="F97" s="52" t="s">
        <v>118</v>
      </c>
      <c r="G97" s="43">
        <f t="shared" si="1"/>
        <v>21</v>
      </c>
    </row>
    <row r="98" customHeight="1" spans="1:7">
      <c r="A98" s="50">
        <v>44018</v>
      </c>
      <c r="B98" s="51">
        <v>18</v>
      </c>
      <c r="C98" s="51">
        <v>25</v>
      </c>
      <c r="D98" s="52" t="s">
        <v>57</v>
      </c>
      <c r="E98" s="52" t="s">
        <v>32</v>
      </c>
      <c r="F98" s="52" t="s">
        <v>19</v>
      </c>
      <c r="G98" s="43">
        <f t="shared" si="1"/>
        <v>21.5</v>
      </c>
    </row>
    <row r="99" customHeight="1" spans="1:7">
      <c r="A99" s="50">
        <v>44019</v>
      </c>
      <c r="B99" s="51">
        <v>19</v>
      </c>
      <c r="C99" s="51">
        <v>26</v>
      </c>
      <c r="D99" s="52" t="s">
        <v>20</v>
      </c>
      <c r="E99" s="52" t="s">
        <v>35</v>
      </c>
      <c r="F99" s="52" t="s">
        <v>119</v>
      </c>
      <c r="G99" s="43">
        <f t="shared" si="1"/>
        <v>22.5</v>
      </c>
    </row>
    <row r="100" customHeight="1" spans="1:7">
      <c r="A100" s="50">
        <v>44020</v>
      </c>
      <c r="B100" s="51">
        <v>19</v>
      </c>
      <c r="C100" s="51">
        <v>26</v>
      </c>
      <c r="D100" s="52" t="s">
        <v>80</v>
      </c>
      <c r="E100" s="52" t="s">
        <v>113</v>
      </c>
      <c r="F100" s="52" t="s">
        <v>40</v>
      </c>
      <c r="G100" s="43">
        <f t="shared" si="1"/>
        <v>22.5</v>
      </c>
    </row>
    <row r="101" customHeight="1" spans="1:7">
      <c r="A101" s="50">
        <v>44021</v>
      </c>
      <c r="B101" s="51">
        <v>17</v>
      </c>
      <c r="C101" s="51">
        <v>19</v>
      </c>
      <c r="D101" s="52" t="s">
        <v>115</v>
      </c>
      <c r="E101" s="52" t="s">
        <v>32</v>
      </c>
      <c r="F101" s="52" t="s">
        <v>19</v>
      </c>
      <c r="G101" s="43">
        <f t="shared" si="1"/>
        <v>18</v>
      </c>
    </row>
    <row r="102" customHeight="1" spans="1:7">
      <c r="A102" s="56">
        <v>44022</v>
      </c>
      <c r="B102" s="51">
        <v>19</v>
      </c>
      <c r="C102" s="51">
        <v>23</v>
      </c>
      <c r="D102" s="57" t="s">
        <v>57</v>
      </c>
      <c r="E102" s="57" t="s">
        <v>120</v>
      </c>
      <c r="F102" s="57" t="s">
        <v>121</v>
      </c>
      <c r="G102" s="43">
        <f t="shared" si="1"/>
        <v>21</v>
      </c>
    </row>
    <row r="103" customHeight="1" spans="1:7">
      <c r="A103" s="56">
        <v>44023</v>
      </c>
      <c r="B103" s="51">
        <v>17</v>
      </c>
      <c r="C103" s="51">
        <v>24</v>
      </c>
      <c r="D103" s="57" t="s">
        <v>31</v>
      </c>
      <c r="E103" s="57" t="s">
        <v>32</v>
      </c>
      <c r="F103" s="57" t="s">
        <v>98</v>
      </c>
      <c r="G103" s="43">
        <f t="shared" si="1"/>
        <v>20.5</v>
      </c>
    </row>
    <row r="104" customHeight="1" spans="1:7">
      <c r="A104" s="56">
        <v>44024</v>
      </c>
      <c r="B104" s="51">
        <v>15</v>
      </c>
      <c r="C104" s="51">
        <v>17</v>
      </c>
      <c r="D104" s="57" t="s">
        <v>49</v>
      </c>
      <c r="E104" s="57" t="s">
        <v>15</v>
      </c>
      <c r="F104" s="57" t="s">
        <v>104</v>
      </c>
      <c r="G104" s="43">
        <f t="shared" si="1"/>
        <v>16</v>
      </c>
    </row>
    <row r="105" customHeight="1" spans="1:7">
      <c r="A105" s="56">
        <v>44025</v>
      </c>
      <c r="B105" s="51">
        <v>16</v>
      </c>
      <c r="C105" s="51">
        <v>19</v>
      </c>
      <c r="D105" s="57" t="s">
        <v>49</v>
      </c>
      <c r="E105" s="57" t="s">
        <v>35</v>
      </c>
      <c r="F105" s="57" t="s">
        <v>116</v>
      </c>
      <c r="G105" s="43">
        <f t="shared" si="1"/>
        <v>17.5</v>
      </c>
    </row>
    <row r="106" customHeight="1" spans="1:7">
      <c r="A106" s="56">
        <v>44026</v>
      </c>
      <c r="B106" s="51">
        <v>18</v>
      </c>
      <c r="C106" s="51">
        <v>24</v>
      </c>
      <c r="D106" s="57" t="s">
        <v>80</v>
      </c>
      <c r="E106" s="57" t="s">
        <v>32</v>
      </c>
      <c r="F106" s="57" t="s">
        <v>44</v>
      </c>
      <c r="G106" s="43">
        <f t="shared" si="1"/>
        <v>21</v>
      </c>
    </row>
    <row r="107" customHeight="1" spans="1:7">
      <c r="A107" s="56">
        <v>44027</v>
      </c>
      <c r="B107" s="51">
        <v>18</v>
      </c>
      <c r="C107" s="51">
        <v>25</v>
      </c>
      <c r="D107" s="57" t="s">
        <v>57</v>
      </c>
      <c r="E107" s="57" t="s">
        <v>122</v>
      </c>
      <c r="F107" s="57" t="s">
        <v>123</v>
      </c>
      <c r="G107" s="43">
        <f t="shared" si="1"/>
        <v>21.5</v>
      </c>
    </row>
    <row r="108" customHeight="1" spans="1:7">
      <c r="A108" s="56">
        <v>44028</v>
      </c>
      <c r="B108" s="51">
        <v>18</v>
      </c>
      <c r="C108" s="51">
        <v>27</v>
      </c>
      <c r="D108" s="57" t="s">
        <v>57</v>
      </c>
      <c r="E108" s="57" t="s">
        <v>92</v>
      </c>
      <c r="F108" s="57" t="s">
        <v>61</v>
      </c>
      <c r="G108" s="43">
        <f t="shared" si="1"/>
        <v>22.5</v>
      </c>
    </row>
    <row r="109" customHeight="1" spans="1:7">
      <c r="A109" s="56">
        <v>44029</v>
      </c>
      <c r="B109" s="51">
        <v>14</v>
      </c>
      <c r="C109" s="51">
        <v>22</v>
      </c>
      <c r="D109" s="57" t="s">
        <v>31</v>
      </c>
      <c r="E109" s="57" t="s">
        <v>62</v>
      </c>
      <c r="F109" s="57" t="s">
        <v>105</v>
      </c>
      <c r="G109" s="43">
        <f t="shared" si="1"/>
        <v>18</v>
      </c>
    </row>
    <row r="110" customHeight="1" spans="1:7">
      <c r="A110" s="56">
        <v>44030</v>
      </c>
      <c r="B110" s="51">
        <v>18</v>
      </c>
      <c r="C110" s="51">
        <v>20</v>
      </c>
      <c r="D110" s="57" t="s">
        <v>31</v>
      </c>
      <c r="E110" s="57" t="s">
        <v>113</v>
      </c>
      <c r="F110" s="57" t="s">
        <v>106</v>
      </c>
      <c r="G110" s="43">
        <f t="shared" si="1"/>
        <v>19</v>
      </c>
    </row>
    <row r="111" customHeight="1" spans="1:7">
      <c r="A111" s="56">
        <v>44031</v>
      </c>
      <c r="B111" s="51">
        <v>16</v>
      </c>
      <c r="C111" s="51">
        <v>18</v>
      </c>
      <c r="D111" s="57" t="s">
        <v>49</v>
      </c>
      <c r="E111" s="57" t="s">
        <v>77</v>
      </c>
      <c r="F111" s="57" t="s">
        <v>124</v>
      </c>
      <c r="G111" s="43">
        <f t="shared" si="1"/>
        <v>17</v>
      </c>
    </row>
    <row r="112" customHeight="1" spans="1:7">
      <c r="A112" s="56">
        <v>44032</v>
      </c>
      <c r="B112" s="51">
        <v>19</v>
      </c>
      <c r="C112" s="51">
        <v>27</v>
      </c>
      <c r="D112" s="57" t="s">
        <v>20</v>
      </c>
      <c r="E112" s="57" t="s">
        <v>92</v>
      </c>
      <c r="F112" s="57" t="s">
        <v>112</v>
      </c>
      <c r="G112" s="43">
        <f t="shared" si="1"/>
        <v>23</v>
      </c>
    </row>
    <row r="113" customHeight="1" spans="1:7">
      <c r="A113" s="56">
        <v>44033</v>
      </c>
      <c r="B113" s="51">
        <v>17</v>
      </c>
      <c r="C113" s="51">
        <v>26</v>
      </c>
      <c r="D113" s="57" t="s">
        <v>80</v>
      </c>
      <c r="E113" s="57" t="s">
        <v>29</v>
      </c>
      <c r="F113" s="57" t="s">
        <v>54</v>
      </c>
      <c r="G113" s="43">
        <f t="shared" si="1"/>
        <v>21.5</v>
      </c>
    </row>
    <row r="114" customHeight="1" spans="1:7">
      <c r="A114" s="56">
        <v>44034</v>
      </c>
      <c r="B114" s="51">
        <v>16</v>
      </c>
      <c r="C114" s="51">
        <v>20</v>
      </c>
      <c r="D114" s="57" t="s">
        <v>111</v>
      </c>
      <c r="E114" s="57" t="s">
        <v>29</v>
      </c>
      <c r="F114" s="57" t="s">
        <v>53</v>
      </c>
      <c r="G114" s="43">
        <f t="shared" si="1"/>
        <v>18</v>
      </c>
    </row>
    <row r="115" customHeight="1" spans="1:7">
      <c r="A115" s="56">
        <v>44035</v>
      </c>
      <c r="B115" s="51">
        <v>16</v>
      </c>
      <c r="C115" s="51">
        <v>22</v>
      </c>
      <c r="D115" s="57" t="s">
        <v>57</v>
      </c>
      <c r="E115" s="57" t="s">
        <v>15</v>
      </c>
      <c r="F115" s="57" t="s">
        <v>75</v>
      </c>
      <c r="G115" s="43">
        <f t="shared" si="1"/>
        <v>19</v>
      </c>
    </row>
    <row r="116" customHeight="1" spans="1:7">
      <c r="A116" s="56">
        <v>44036</v>
      </c>
      <c r="B116" s="51">
        <v>20</v>
      </c>
      <c r="C116" s="51">
        <v>27</v>
      </c>
      <c r="D116" s="57" t="s">
        <v>20</v>
      </c>
      <c r="E116" s="57" t="s">
        <v>37</v>
      </c>
      <c r="F116" s="57" t="s">
        <v>101</v>
      </c>
      <c r="G116" s="43">
        <f t="shared" si="1"/>
        <v>23.5</v>
      </c>
    </row>
    <row r="117" customHeight="1" spans="1:7">
      <c r="A117" s="56">
        <v>44037</v>
      </c>
      <c r="B117" s="51">
        <v>18</v>
      </c>
      <c r="C117" s="51">
        <v>26</v>
      </c>
      <c r="D117" s="57" t="s">
        <v>83</v>
      </c>
      <c r="E117" s="57" t="s">
        <v>125</v>
      </c>
      <c r="F117" s="57" t="s">
        <v>119</v>
      </c>
      <c r="G117" s="43">
        <f t="shared" si="1"/>
        <v>22</v>
      </c>
    </row>
    <row r="118" customHeight="1" spans="1:7">
      <c r="A118" s="56">
        <v>44038</v>
      </c>
      <c r="B118" s="51">
        <v>16</v>
      </c>
      <c r="C118" s="51">
        <v>18</v>
      </c>
      <c r="D118" s="57" t="s">
        <v>115</v>
      </c>
      <c r="E118" s="57" t="s">
        <v>120</v>
      </c>
      <c r="F118" s="57" t="s">
        <v>126</v>
      </c>
      <c r="G118" s="43">
        <f t="shared" si="1"/>
        <v>17</v>
      </c>
    </row>
    <row r="119" customHeight="1" spans="1:7">
      <c r="A119" s="56">
        <v>44039</v>
      </c>
      <c r="B119" s="51">
        <v>17</v>
      </c>
      <c r="C119" s="51">
        <v>21</v>
      </c>
      <c r="D119" s="57" t="s">
        <v>57</v>
      </c>
      <c r="E119" s="57" t="s">
        <v>127</v>
      </c>
      <c r="F119" s="57" t="s">
        <v>128</v>
      </c>
      <c r="G119" s="43">
        <f t="shared" si="1"/>
        <v>19</v>
      </c>
    </row>
    <row r="120" customHeight="1" spans="1:7">
      <c r="A120" s="56">
        <v>44040</v>
      </c>
      <c r="B120" s="51">
        <v>19</v>
      </c>
      <c r="C120" s="51">
        <v>25</v>
      </c>
      <c r="D120" s="57" t="s">
        <v>57</v>
      </c>
      <c r="E120" s="57" t="s">
        <v>92</v>
      </c>
      <c r="F120" s="57" t="s">
        <v>129</v>
      </c>
      <c r="G120" s="43">
        <f t="shared" si="1"/>
        <v>22</v>
      </c>
    </row>
    <row r="121" customHeight="1" spans="1:7">
      <c r="A121" s="56">
        <v>44041</v>
      </c>
      <c r="B121" s="51">
        <v>20</v>
      </c>
      <c r="C121" s="51">
        <v>26</v>
      </c>
      <c r="D121" s="57" t="s">
        <v>57</v>
      </c>
      <c r="E121" s="57" t="s">
        <v>32</v>
      </c>
      <c r="F121" s="57" t="s">
        <v>50</v>
      </c>
      <c r="G121" s="43">
        <f t="shared" si="1"/>
        <v>23</v>
      </c>
    </row>
    <row r="122" customHeight="1" spans="1:7">
      <c r="A122" s="56">
        <v>44042</v>
      </c>
      <c r="B122" s="51">
        <v>20</v>
      </c>
      <c r="C122" s="51">
        <v>28</v>
      </c>
      <c r="D122" s="57" t="s">
        <v>66</v>
      </c>
      <c r="E122" s="57" t="s">
        <v>92</v>
      </c>
      <c r="F122" s="57" t="s">
        <v>39</v>
      </c>
      <c r="G122" s="43">
        <f t="shared" si="1"/>
        <v>24</v>
      </c>
    </row>
    <row r="123" customHeight="1" spans="1:7">
      <c r="A123" s="56">
        <v>44043</v>
      </c>
      <c r="B123" s="51">
        <v>20</v>
      </c>
      <c r="C123" s="51">
        <v>26</v>
      </c>
      <c r="D123" s="57" t="s">
        <v>80</v>
      </c>
      <c r="E123" s="57" t="s">
        <v>62</v>
      </c>
      <c r="F123" s="57" t="s">
        <v>130</v>
      </c>
      <c r="G123" s="43">
        <f t="shared" si="1"/>
        <v>23</v>
      </c>
    </row>
    <row r="124" customHeight="1" spans="1:7">
      <c r="A124" s="56">
        <v>44044</v>
      </c>
      <c r="B124" s="51">
        <v>18</v>
      </c>
      <c r="C124" s="51">
        <v>28</v>
      </c>
      <c r="D124" s="57" t="s">
        <v>131</v>
      </c>
      <c r="E124" s="57" t="s">
        <v>92</v>
      </c>
      <c r="F124" s="57" t="s">
        <v>132</v>
      </c>
      <c r="G124" s="43">
        <f t="shared" si="1"/>
        <v>23</v>
      </c>
    </row>
    <row r="125" customHeight="1" spans="1:7">
      <c r="A125" s="56">
        <v>44045</v>
      </c>
      <c r="B125" s="51">
        <v>22</v>
      </c>
      <c r="C125" s="51">
        <v>27</v>
      </c>
      <c r="D125" s="57" t="s">
        <v>80</v>
      </c>
      <c r="E125" s="57" t="s">
        <v>26</v>
      </c>
      <c r="F125" s="57" t="s">
        <v>133</v>
      </c>
      <c r="G125" s="43">
        <f t="shared" si="1"/>
        <v>24.5</v>
      </c>
    </row>
    <row r="126" customHeight="1" spans="1:7">
      <c r="A126" s="56">
        <v>44046</v>
      </c>
      <c r="B126" s="51">
        <v>21</v>
      </c>
      <c r="C126" s="51">
        <v>27</v>
      </c>
      <c r="D126" s="57" t="s">
        <v>83</v>
      </c>
      <c r="E126" s="57" t="s">
        <v>62</v>
      </c>
      <c r="F126" s="57" t="s">
        <v>34</v>
      </c>
      <c r="G126" s="43">
        <f t="shared" si="1"/>
        <v>24</v>
      </c>
    </row>
    <row r="127" customHeight="1" spans="1:7">
      <c r="A127" s="56">
        <v>44047</v>
      </c>
      <c r="B127" s="51">
        <v>21</v>
      </c>
      <c r="C127" s="51">
        <v>29</v>
      </c>
      <c r="D127" s="57" t="s">
        <v>14</v>
      </c>
      <c r="E127" s="57" t="s">
        <v>62</v>
      </c>
      <c r="F127" s="57" t="s">
        <v>134</v>
      </c>
      <c r="G127" s="43">
        <f t="shared" si="1"/>
        <v>25</v>
      </c>
    </row>
    <row r="128" customHeight="1" spans="1:7">
      <c r="A128" s="56">
        <v>44048</v>
      </c>
      <c r="B128" s="51">
        <v>19</v>
      </c>
      <c r="C128" s="51">
        <v>22</v>
      </c>
      <c r="D128" s="57" t="s">
        <v>72</v>
      </c>
      <c r="E128" s="57" t="s">
        <v>37</v>
      </c>
      <c r="F128" s="57" t="s">
        <v>130</v>
      </c>
      <c r="G128" s="43">
        <f t="shared" si="1"/>
        <v>20.5</v>
      </c>
    </row>
    <row r="129" customHeight="1" spans="1:7">
      <c r="A129" s="56">
        <v>44049</v>
      </c>
      <c r="B129" s="51">
        <v>20</v>
      </c>
      <c r="C129" s="51">
        <v>22</v>
      </c>
      <c r="D129" s="57" t="s">
        <v>135</v>
      </c>
      <c r="E129" s="57" t="s">
        <v>127</v>
      </c>
      <c r="F129" s="57" t="s">
        <v>136</v>
      </c>
      <c r="G129" s="43">
        <f t="shared" si="1"/>
        <v>21</v>
      </c>
    </row>
    <row r="130" customHeight="1" spans="1:7">
      <c r="A130" s="56">
        <v>44050</v>
      </c>
      <c r="B130" s="51">
        <v>19</v>
      </c>
      <c r="C130" s="51">
        <v>21</v>
      </c>
      <c r="D130" s="57" t="s">
        <v>137</v>
      </c>
      <c r="E130" s="57" t="s">
        <v>113</v>
      </c>
      <c r="F130" s="57" t="s">
        <v>138</v>
      </c>
      <c r="G130" s="43">
        <f t="shared" si="1"/>
        <v>20</v>
      </c>
    </row>
    <row r="131" customHeight="1" spans="1:7">
      <c r="A131" s="56">
        <v>44051</v>
      </c>
      <c r="B131" s="51">
        <v>19</v>
      </c>
      <c r="C131" s="51">
        <v>21</v>
      </c>
      <c r="D131" s="57" t="s">
        <v>115</v>
      </c>
      <c r="E131" s="57" t="s">
        <v>35</v>
      </c>
      <c r="F131" s="57" t="s">
        <v>139</v>
      </c>
      <c r="G131" s="43">
        <f t="shared" ref="G131:G194" si="2">AVERAGE(B131,C131)</f>
        <v>20</v>
      </c>
    </row>
    <row r="132" customHeight="1" spans="1:7">
      <c r="A132" s="56">
        <v>44052</v>
      </c>
      <c r="B132" s="51">
        <v>20</v>
      </c>
      <c r="C132" s="51">
        <v>26</v>
      </c>
      <c r="D132" s="57" t="s">
        <v>23</v>
      </c>
      <c r="E132" s="57" t="s">
        <v>113</v>
      </c>
      <c r="F132" s="57" t="s">
        <v>119</v>
      </c>
      <c r="G132" s="43">
        <f t="shared" si="2"/>
        <v>23</v>
      </c>
    </row>
    <row r="133" customHeight="1" spans="1:7">
      <c r="A133" s="56">
        <v>44053</v>
      </c>
      <c r="B133" s="51">
        <v>22</v>
      </c>
      <c r="C133" s="51">
        <v>27</v>
      </c>
      <c r="D133" s="57" t="s">
        <v>45</v>
      </c>
      <c r="E133" s="57" t="s">
        <v>32</v>
      </c>
      <c r="F133" s="57" t="s">
        <v>48</v>
      </c>
      <c r="G133" s="43">
        <f t="shared" si="2"/>
        <v>24.5</v>
      </c>
    </row>
    <row r="134" customHeight="1" spans="1:7">
      <c r="A134" s="56">
        <v>44054</v>
      </c>
      <c r="B134" s="51">
        <v>20</v>
      </c>
      <c r="C134" s="51">
        <v>27</v>
      </c>
      <c r="D134" s="57" t="s">
        <v>140</v>
      </c>
      <c r="E134" s="57" t="s">
        <v>92</v>
      </c>
      <c r="F134" s="57" t="s">
        <v>44</v>
      </c>
      <c r="G134" s="43">
        <f t="shared" si="2"/>
        <v>23.5</v>
      </c>
    </row>
    <row r="135" customHeight="1" spans="1:7">
      <c r="A135" s="56">
        <v>44055</v>
      </c>
      <c r="B135" s="51">
        <v>21</v>
      </c>
      <c r="C135" s="51">
        <v>25</v>
      </c>
      <c r="D135" s="57" t="s">
        <v>114</v>
      </c>
      <c r="E135" s="57" t="s">
        <v>29</v>
      </c>
      <c r="F135" s="57" t="s">
        <v>19</v>
      </c>
      <c r="G135" s="43">
        <f t="shared" si="2"/>
        <v>23</v>
      </c>
    </row>
    <row r="136" customHeight="1" spans="1:7">
      <c r="A136" s="56">
        <v>44056</v>
      </c>
      <c r="B136" s="51">
        <v>21</v>
      </c>
      <c r="C136" s="51">
        <v>24</v>
      </c>
      <c r="D136" s="57" t="s">
        <v>141</v>
      </c>
      <c r="E136" s="57" t="s">
        <v>26</v>
      </c>
      <c r="F136" s="57" t="s">
        <v>107</v>
      </c>
      <c r="G136" s="43">
        <f t="shared" si="2"/>
        <v>22.5</v>
      </c>
    </row>
    <row r="137" customHeight="1" spans="1:7">
      <c r="A137" s="56">
        <v>44057</v>
      </c>
      <c r="B137" s="51">
        <v>21</v>
      </c>
      <c r="C137" s="51">
        <v>28</v>
      </c>
      <c r="D137" s="57" t="s">
        <v>142</v>
      </c>
      <c r="E137" s="57" t="s">
        <v>92</v>
      </c>
      <c r="F137" s="57" t="s">
        <v>34</v>
      </c>
      <c r="G137" s="43">
        <f t="shared" si="2"/>
        <v>24.5</v>
      </c>
    </row>
    <row r="138" customHeight="1" spans="1:7">
      <c r="A138" s="56">
        <v>44058</v>
      </c>
      <c r="B138" s="51">
        <v>19</v>
      </c>
      <c r="C138" s="51">
        <v>26</v>
      </c>
      <c r="D138" s="57" t="s">
        <v>111</v>
      </c>
      <c r="E138" s="57" t="s">
        <v>18</v>
      </c>
      <c r="F138" s="57" t="s">
        <v>136</v>
      </c>
      <c r="G138" s="43">
        <f t="shared" si="2"/>
        <v>22.5</v>
      </c>
    </row>
    <row r="139" customHeight="1" spans="1:7">
      <c r="A139" s="56">
        <v>44059</v>
      </c>
      <c r="B139" s="51">
        <v>21</v>
      </c>
      <c r="C139" s="51">
        <v>25</v>
      </c>
      <c r="D139" s="57" t="s">
        <v>49</v>
      </c>
      <c r="E139" s="57" t="s">
        <v>143</v>
      </c>
      <c r="F139" s="57" t="s">
        <v>144</v>
      </c>
      <c r="G139" s="43">
        <f t="shared" si="2"/>
        <v>23</v>
      </c>
    </row>
    <row r="140" customHeight="1" spans="1:7">
      <c r="A140" s="56">
        <v>44060</v>
      </c>
      <c r="B140" s="51">
        <v>23</v>
      </c>
      <c r="C140" s="51">
        <v>29</v>
      </c>
      <c r="D140" s="57" t="s">
        <v>23</v>
      </c>
      <c r="E140" s="57" t="s">
        <v>92</v>
      </c>
      <c r="F140" s="57" t="s">
        <v>53</v>
      </c>
      <c r="G140" s="43">
        <f t="shared" si="2"/>
        <v>26</v>
      </c>
    </row>
    <row r="141" customHeight="1" spans="1:7">
      <c r="A141" s="56">
        <v>44061</v>
      </c>
      <c r="B141" s="51">
        <v>19</v>
      </c>
      <c r="C141" s="51">
        <v>29</v>
      </c>
      <c r="D141" s="57" t="s">
        <v>140</v>
      </c>
      <c r="E141" s="57" t="s">
        <v>62</v>
      </c>
      <c r="F141" s="57" t="s">
        <v>53</v>
      </c>
      <c r="G141" s="43">
        <f t="shared" si="2"/>
        <v>24</v>
      </c>
    </row>
    <row r="142" customHeight="1" spans="1:7">
      <c r="A142" s="56">
        <v>44062</v>
      </c>
      <c r="B142" s="51">
        <v>17</v>
      </c>
      <c r="C142" s="51">
        <v>23</v>
      </c>
      <c r="D142" s="57" t="s">
        <v>135</v>
      </c>
      <c r="E142" s="57" t="s">
        <v>37</v>
      </c>
      <c r="F142" s="57" t="s">
        <v>145</v>
      </c>
      <c r="G142" s="43">
        <f t="shared" si="2"/>
        <v>20</v>
      </c>
    </row>
    <row r="143" customHeight="1" spans="1:7">
      <c r="A143" s="56">
        <v>44063</v>
      </c>
      <c r="B143" s="51">
        <v>15</v>
      </c>
      <c r="C143" s="51">
        <v>17</v>
      </c>
      <c r="D143" s="57" t="s">
        <v>146</v>
      </c>
      <c r="E143" s="57" t="s">
        <v>15</v>
      </c>
      <c r="F143" s="57" t="s">
        <v>147</v>
      </c>
      <c r="G143" s="43">
        <f t="shared" si="2"/>
        <v>16</v>
      </c>
    </row>
    <row r="144" customHeight="1" spans="1:7">
      <c r="A144" s="56">
        <v>44064</v>
      </c>
      <c r="B144" s="51">
        <v>14</v>
      </c>
      <c r="C144" s="51">
        <v>19</v>
      </c>
      <c r="D144" s="57" t="s">
        <v>80</v>
      </c>
      <c r="E144" s="57" t="s">
        <v>35</v>
      </c>
      <c r="F144" s="57" t="s">
        <v>133</v>
      </c>
      <c r="G144" s="43">
        <f t="shared" si="2"/>
        <v>16.5</v>
      </c>
    </row>
    <row r="145" customHeight="1" spans="1:7">
      <c r="A145" s="56">
        <v>44065</v>
      </c>
      <c r="B145" s="51">
        <v>18</v>
      </c>
      <c r="C145" s="51">
        <v>22</v>
      </c>
      <c r="D145" s="57" t="s">
        <v>57</v>
      </c>
      <c r="E145" s="57" t="s">
        <v>113</v>
      </c>
      <c r="F145" s="57" t="s">
        <v>78</v>
      </c>
      <c r="G145" s="43">
        <f t="shared" si="2"/>
        <v>20</v>
      </c>
    </row>
    <row r="146" customHeight="1" spans="1:7">
      <c r="A146" s="56">
        <v>44066</v>
      </c>
      <c r="B146" s="51">
        <v>19</v>
      </c>
      <c r="C146" s="51">
        <v>24</v>
      </c>
      <c r="D146" s="57" t="s">
        <v>66</v>
      </c>
      <c r="E146" s="57" t="s">
        <v>92</v>
      </c>
      <c r="F146" s="57" t="s">
        <v>16</v>
      </c>
      <c r="G146" s="43">
        <f t="shared" si="2"/>
        <v>21.5</v>
      </c>
    </row>
    <row r="147" customHeight="1" spans="1:7">
      <c r="A147" s="56">
        <v>44067</v>
      </c>
      <c r="B147" s="51">
        <v>16</v>
      </c>
      <c r="C147" s="51">
        <v>23</v>
      </c>
      <c r="D147" s="57" t="s">
        <v>148</v>
      </c>
      <c r="E147" s="57" t="s">
        <v>26</v>
      </c>
      <c r="F147" s="57" t="s">
        <v>149</v>
      </c>
      <c r="G147" s="43">
        <f t="shared" si="2"/>
        <v>19.5</v>
      </c>
    </row>
    <row r="148" customHeight="1" spans="1:7">
      <c r="A148" s="56">
        <v>44068</v>
      </c>
      <c r="B148" s="51">
        <v>18</v>
      </c>
      <c r="C148" s="51">
        <v>23</v>
      </c>
      <c r="D148" s="57" t="s">
        <v>57</v>
      </c>
      <c r="E148" s="57" t="s">
        <v>35</v>
      </c>
      <c r="F148" s="57" t="s">
        <v>39</v>
      </c>
      <c r="G148" s="43">
        <f t="shared" si="2"/>
        <v>20.5</v>
      </c>
    </row>
    <row r="149" customHeight="1" spans="1:7">
      <c r="A149" s="56">
        <v>44069</v>
      </c>
      <c r="B149" s="51">
        <v>15</v>
      </c>
      <c r="C149" s="51">
        <v>18</v>
      </c>
      <c r="D149" s="57" t="s">
        <v>31</v>
      </c>
      <c r="E149" s="57" t="s">
        <v>15</v>
      </c>
      <c r="F149" s="57" t="s">
        <v>145</v>
      </c>
      <c r="G149" s="43">
        <f t="shared" si="2"/>
        <v>16.5</v>
      </c>
    </row>
    <row r="150" customHeight="1" spans="1:7">
      <c r="A150" s="56">
        <v>44070</v>
      </c>
      <c r="B150" s="51">
        <v>16</v>
      </c>
      <c r="C150" s="51">
        <v>22</v>
      </c>
      <c r="D150" s="57" t="s">
        <v>49</v>
      </c>
      <c r="E150" s="57" t="s">
        <v>32</v>
      </c>
      <c r="F150" s="57" t="s">
        <v>104</v>
      </c>
      <c r="G150" s="43">
        <f t="shared" si="2"/>
        <v>19</v>
      </c>
    </row>
    <row r="151" customHeight="1" spans="1:7">
      <c r="A151" s="56">
        <v>44071</v>
      </c>
      <c r="B151" s="51">
        <v>17</v>
      </c>
      <c r="C151" s="51">
        <v>25</v>
      </c>
      <c r="D151" s="57" t="s">
        <v>20</v>
      </c>
      <c r="E151" s="57" t="s">
        <v>127</v>
      </c>
      <c r="F151" s="57" t="s">
        <v>42</v>
      </c>
      <c r="G151" s="43">
        <f t="shared" si="2"/>
        <v>21</v>
      </c>
    </row>
    <row r="152" customHeight="1" spans="1:7">
      <c r="A152" s="56">
        <v>44072</v>
      </c>
      <c r="B152" s="51">
        <v>18</v>
      </c>
      <c r="C152" s="51">
        <v>25</v>
      </c>
      <c r="D152" s="57" t="s">
        <v>20</v>
      </c>
      <c r="E152" s="57" t="s">
        <v>113</v>
      </c>
      <c r="F152" s="57" t="s">
        <v>81</v>
      </c>
      <c r="G152" s="43">
        <f t="shared" si="2"/>
        <v>21.5</v>
      </c>
    </row>
    <row r="153" customHeight="1" spans="1:7">
      <c r="A153" s="56">
        <v>44073</v>
      </c>
      <c r="B153" s="51">
        <v>19</v>
      </c>
      <c r="C153" s="51">
        <v>25</v>
      </c>
      <c r="D153" s="57" t="s">
        <v>20</v>
      </c>
      <c r="E153" s="57" t="s">
        <v>35</v>
      </c>
      <c r="F153" s="57" t="s">
        <v>39</v>
      </c>
      <c r="G153" s="43">
        <f t="shared" si="2"/>
        <v>22</v>
      </c>
    </row>
    <row r="154" customHeight="1" spans="1:7">
      <c r="A154" s="56">
        <v>44074</v>
      </c>
      <c r="B154" s="51">
        <v>18</v>
      </c>
      <c r="C154" s="51">
        <v>25</v>
      </c>
      <c r="D154" s="57" t="s">
        <v>25</v>
      </c>
      <c r="E154" s="57" t="s">
        <v>150</v>
      </c>
      <c r="F154" s="57" t="s">
        <v>102</v>
      </c>
      <c r="G154" s="43">
        <f t="shared" si="2"/>
        <v>21.5</v>
      </c>
    </row>
    <row r="155" customHeight="1" spans="1:7">
      <c r="A155" s="56">
        <v>44075</v>
      </c>
      <c r="B155" s="51">
        <v>16</v>
      </c>
      <c r="C155" s="51">
        <v>25</v>
      </c>
      <c r="D155" s="57" t="s">
        <v>57</v>
      </c>
      <c r="E155" s="57" t="s">
        <v>37</v>
      </c>
      <c r="F155" s="57" t="s">
        <v>102</v>
      </c>
      <c r="G155" s="43">
        <f t="shared" si="2"/>
        <v>20.5</v>
      </c>
    </row>
    <row r="156" customHeight="1" spans="1:7">
      <c r="A156" s="56">
        <v>44076</v>
      </c>
      <c r="B156" s="51">
        <v>13</v>
      </c>
      <c r="C156" s="51">
        <v>21</v>
      </c>
      <c r="D156" s="57" t="s">
        <v>23</v>
      </c>
      <c r="E156" s="57" t="s">
        <v>37</v>
      </c>
      <c r="F156" s="57" t="s">
        <v>58</v>
      </c>
      <c r="G156" s="43">
        <f t="shared" si="2"/>
        <v>17</v>
      </c>
    </row>
    <row r="157" customHeight="1" spans="1:7">
      <c r="A157" s="56">
        <v>44077</v>
      </c>
      <c r="B157" s="51">
        <v>14</v>
      </c>
      <c r="C157" s="51">
        <v>20</v>
      </c>
      <c r="D157" s="57" t="s">
        <v>23</v>
      </c>
      <c r="E157" s="57" t="s">
        <v>46</v>
      </c>
      <c r="F157" s="57" t="s">
        <v>134</v>
      </c>
      <c r="G157" s="43">
        <f t="shared" si="2"/>
        <v>17</v>
      </c>
    </row>
    <row r="158" customHeight="1" spans="1:7">
      <c r="A158" s="56">
        <v>44078</v>
      </c>
      <c r="B158" s="51">
        <v>17</v>
      </c>
      <c r="C158" s="51">
        <v>24</v>
      </c>
      <c r="D158" s="57" t="s">
        <v>23</v>
      </c>
      <c r="E158" s="57" t="s">
        <v>62</v>
      </c>
      <c r="F158" s="57" t="s">
        <v>54</v>
      </c>
      <c r="G158" s="43">
        <f t="shared" si="2"/>
        <v>20.5</v>
      </c>
    </row>
    <row r="159" customHeight="1" spans="1:7">
      <c r="A159" s="56">
        <v>44079</v>
      </c>
      <c r="B159" s="51">
        <v>21</v>
      </c>
      <c r="C159" s="51">
        <v>27</v>
      </c>
      <c r="D159" s="57" t="s">
        <v>20</v>
      </c>
      <c r="E159" s="57" t="s">
        <v>26</v>
      </c>
      <c r="F159" s="57" t="s">
        <v>94</v>
      </c>
      <c r="G159" s="43">
        <f t="shared" si="2"/>
        <v>24</v>
      </c>
    </row>
    <row r="160" customHeight="1" spans="1:7">
      <c r="A160" s="56">
        <v>44080</v>
      </c>
      <c r="B160" s="51">
        <v>18</v>
      </c>
      <c r="C160" s="51">
        <v>27</v>
      </c>
      <c r="D160" s="57" t="s">
        <v>23</v>
      </c>
      <c r="E160" s="57" t="s">
        <v>18</v>
      </c>
      <c r="F160" s="57" t="s">
        <v>89</v>
      </c>
      <c r="G160" s="43">
        <f t="shared" si="2"/>
        <v>22.5</v>
      </c>
    </row>
    <row r="161" customHeight="1" spans="1:7">
      <c r="A161" s="56">
        <v>44081</v>
      </c>
      <c r="B161" s="51">
        <v>16</v>
      </c>
      <c r="C161" s="51">
        <v>24</v>
      </c>
      <c r="D161" s="57" t="s">
        <v>66</v>
      </c>
      <c r="E161" s="57" t="s">
        <v>150</v>
      </c>
      <c r="F161" s="57" t="s">
        <v>50</v>
      </c>
      <c r="G161" s="43">
        <f t="shared" si="2"/>
        <v>20</v>
      </c>
    </row>
    <row r="162" customHeight="1" spans="1:7">
      <c r="A162" s="56">
        <v>44082</v>
      </c>
      <c r="B162" s="51">
        <v>15</v>
      </c>
      <c r="C162" s="51">
        <v>23</v>
      </c>
      <c r="D162" s="57" t="s">
        <v>17</v>
      </c>
      <c r="E162" s="57" t="s">
        <v>37</v>
      </c>
      <c r="F162" s="57" t="s">
        <v>16</v>
      </c>
      <c r="G162" s="43">
        <f t="shared" si="2"/>
        <v>19</v>
      </c>
    </row>
    <row r="163" customHeight="1" spans="1:7">
      <c r="A163" s="56">
        <v>44083</v>
      </c>
      <c r="B163" s="51">
        <v>17</v>
      </c>
      <c r="C163" s="51">
        <v>23</v>
      </c>
      <c r="D163" s="57" t="s">
        <v>45</v>
      </c>
      <c r="E163" s="57" t="s">
        <v>37</v>
      </c>
      <c r="F163" s="57" t="s">
        <v>58</v>
      </c>
      <c r="G163" s="43">
        <f t="shared" si="2"/>
        <v>20</v>
      </c>
    </row>
    <row r="164" customHeight="1" spans="1:7">
      <c r="A164" s="56">
        <v>44084</v>
      </c>
      <c r="B164" s="51">
        <v>12</v>
      </c>
      <c r="C164" s="51">
        <v>23</v>
      </c>
      <c r="D164" s="57" t="s">
        <v>80</v>
      </c>
      <c r="E164" s="57" t="s">
        <v>150</v>
      </c>
      <c r="F164" s="57" t="s">
        <v>112</v>
      </c>
      <c r="G164" s="43">
        <f t="shared" si="2"/>
        <v>17.5</v>
      </c>
    </row>
    <row r="165" customHeight="1" spans="1:7">
      <c r="A165" s="56">
        <v>44085</v>
      </c>
      <c r="B165" s="51">
        <v>12</v>
      </c>
      <c r="C165" s="51">
        <v>17</v>
      </c>
      <c r="D165" s="57" t="s">
        <v>49</v>
      </c>
      <c r="E165" s="57" t="s">
        <v>37</v>
      </c>
      <c r="F165" s="57" t="s">
        <v>106</v>
      </c>
      <c r="G165" s="43">
        <f t="shared" si="2"/>
        <v>14.5</v>
      </c>
    </row>
    <row r="166" customHeight="1" spans="1:7">
      <c r="A166" s="56">
        <v>44086</v>
      </c>
      <c r="B166" s="51">
        <v>14</v>
      </c>
      <c r="C166" s="51">
        <v>20</v>
      </c>
      <c r="D166" s="57" t="s">
        <v>80</v>
      </c>
      <c r="E166" s="57" t="s">
        <v>150</v>
      </c>
      <c r="F166" s="57" t="s">
        <v>88</v>
      </c>
      <c r="G166" s="43">
        <f t="shared" si="2"/>
        <v>17</v>
      </c>
    </row>
    <row r="167" customHeight="1" spans="1:7">
      <c r="A167" s="56">
        <v>44087</v>
      </c>
      <c r="B167" s="51">
        <v>15</v>
      </c>
      <c r="C167" s="51">
        <v>21</v>
      </c>
      <c r="D167" s="57" t="s">
        <v>80</v>
      </c>
      <c r="E167" s="57" t="s">
        <v>35</v>
      </c>
      <c r="F167" s="57" t="s">
        <v>52</v>
      </c>
      <c r="G167" s="43">
        <f t="shared" si="2"/>
        <v>18</v>
      </c>
    </row>
    <row r="168" customHeight="1" spans="1:7">
      <c r="A168" s="56">
        <v>44088</v>
      </c>
      <c r="B168" s="51">
        <v>16</v>
      </c>
      <c r="C168" s="51">
        <v>21</v>
      </c>
      <c r="D168" s="57" t="s">
        <v>146</v>
      </c>
      <c r="E168" s="57" t="s">
        <v>32</v>
      </c>
      <c r="F168" s="57" t="s">
        <v>51</v>
      </c>
      <c r="G168" s="43">
        <f t="shared" si="2"/>
        <v>18.5</v>
      </c>
    </row>
    <row r="169" customHeight="1" spans="1:7">
      <c r="A169" s="56">
        <v>44089</v>
      </c>
      <c r="B169" s="51">
        <v>14</v>
      </c>
      <c r="C169" s="51">
        <v>20</v>
      </c>
      <c r="D169" s="57" t="s">
        <v>83</v>
      </c>
      <c r="E169" s="57" t="s">
        <v>26</v>
      </c>
      <c r="F169" s="57" t="s">
        <v>139</v>
      </c>
      <c r="G169" s="43">
        <f t="shared" si="2"/>
        <v>17</v>
      </c>
    </row>
    <row r="170" customHeight="1" spans="1:7">
      <c r="A170" s="56">
        <v>44090</v>
      </c>
      <c r="B170" s="51">
        <v>12</v>
      </c>
      <c r="C170" s="51">
        <v>19</v>
      </c>
      <c r="D170" s="57" t="s">
        <v>23</v>
      </c>
      <c r="E170" s="57" t="s">
        <v>37</v>
      </c>
      <c r="F170" s="57" t="s">
        <v>52</v>
      </c>
      <c r="G170" s="43">
        <f t="shared" si="2"/>
        <v>15.5</v>
      </c>
    </row>
    <row r="171" customHeight="1" spans="1:7">
      <c r="A171" s="56">
        <v>44091</v>
      </c>
      <c r="B171" s="51">
        <v>11</v>
      </c>
      <c r="C171" s="51">
        <v>19</v>
      </c>
      <c r="D171" s="57" t="s">
        <v>17</v>
      </c>
      <c r="E171" s="57" t="s">
        <v>37</v>
      </c>
      <c r="F171" s="57" t="s">
        <v>149</v>
      </c>
      <c r="G171" s="43">
        <f t="shared" si="2"/>
        <v>15</v>
      </c>
    </row>
    <row r="172" customHeight="1" spans="1:7">
      <c r="A172" s="56">
        <v>44092</v>
      </c>
      <c r="B172" s="51">
        <v>14</v>
      </c>
      <c r="C172" s="51">
        <v>23</v>
      </c>
      <c r="D172" s="57" t="s">
        <v>20</v>
      </c>
      <c r="E172" s="57" t="s">
        <v>18</v>
      </c>
      <c r="F172" s="57" t="s">
        <v>132</v>
      </c>
      <c r="G172" s="43">
        <f t="shared" si="2"/>
        <v>18.5</v>
      </c>
    </row>
    <row r="173" customHeight="1" spans="1:7">
      <c r="A173" s="56">
        <v>44093</v>
      </c>
      <c r="B173" s="51">
        <v>16</v>
      </c>
      <c r="C173" s="51">
        <v>24</v>
      </c>
      <c r="D173" s="57" t="s">
        <v>20</v>
      </c>
      <c r="E173" s="57" t="s">
        <v>26</v>
      </c>
      <c r="F173" s="57" t="s">
        <v>56</v>
      </c>
      <c r="G173" s="43">
        <f t="shared" si="2"/>
        <v>20</v>
      </c>
    </row>
    <row r="174" customHeight="1" spans="1:7">
      <c r="A174" s="56">
        <v>44094</v>
      </c>
      <c r="B174" s="51">
        <v>15</v>
      </c>
      <c r="C174" s="51">
        <v>24</v>
      </c>
      <c r="D174" s="57" t="s">
        <v>20</v>
      </c>
      <c r="E174" s="57" t="s">
        <v>18</v>
      </c>
      <c r="F174" s="57" t="s">
        <v>56</v>
      </c>
      <c r="G174" s="43">
        <f t="shared" si="2"/>
        <v>19.5</v>
      </c>
    </row>
    <row r="175" customHeight="1" spans="1:7">
      <c r="A175" s="56">
        <v>44095</v>
      </c>
      <c r="B175" s="51">
        <v>15</v>
      </c>
      <c r="C175" s="51">
        <v>22</v>
      </c>
      <c r="D175" s="57" t="s">
        <v>57</v>
      </c>
      <c r="E175" s="57" t="s">
        <v>32</v>
      </c>
      <c r="F175" s="57" t="s">
        <v>56</v>
      </c>
      <c r="G175" s="43">
        <f t="shared" si="2"/>
        <v>18.5</v>
      </c>
    </row>
    <row r="176" customHeight="1" spans="1:7">
      <c r="A176" s="56">
        <v>44096</v>
      </c>
      <c r="B176" s="51">
        <v>15</v>
      </c>
      <c r="C176" s="51">
        <v>22</v>
      </c>
      <c r="D176" s="57" t="s">
        <v>57</v>
      </c>
      <c r="E176" s="57" t="s">
        <v>32</v>
      </c>
      <c r="F176" s="57" t="s">
        <v>22</v>
      </c>
      <c r="G176" s="43">
        <f t="shared" si="2"/>
        <v>18.5</v>
      </c>
    </row>
    <row r="177" customHeight="1" spans="1:7">
      <c r="A177" s="56">
        <v>44097</v>
      </c>
      <c r="B177" s="51">
        <v>13</v>
      </c>
      <c r="C177" s="51">
        <v>19</v>
      </c>
      <c r="D177" s="57" t="s">
        <v>114</v>
      </c>
      <c r="E177" s="57" t="s">
        <v>32</v>
      </c>
      <c r="F177" s="57" t="s">
        <v>27</v>
      </c>
      <c r="G177" s="43">
        <f t="shared" si="2"/>
        <v>16</v>
      </c>
    </row>
    <row r="178" customHeight="1" spans="1:7">
      <c r="A178" s="56">
        <v>44098</v>
      </c>
      <c r="B178" s="51">
        <v>12</v>
      </c>
      <c r="C178" s="51">
        <v>16</v>
      </c>
      <c r="D178" s="57" t="s">
        <v>115</v>
      </c>
      <c r="E178" s="57" t="s">
        <v>125</v>
      </c>
      <c r="F178" s="57" t="s">
        <v>105</v>
      </c>
      <c r="G178" s="43">
        <f t="shared" si="2"/>
        <v>14</v>
      </c>
    </row>
    <row r="179" customHeight="1" spans="1:7">
      <c r="A179" s="56">
        <v>44099</v>
      </c>
      <c r="B179" s="51">
        <v>11</v>
      </c>
      <c r="C179" s="51">
        <v>17</v>
      </c>
      <c r="D179" s="57" t="s">
        <v>80</v>
      </c>
      <c r="E179" s="57" t="s">
        <v>35</v>
      </c>
      <c r="F179" s="57" t="s">
        <v>151</v>
      </c>
      <c r="G179" s="43">
        <f t="shared" si="2"/>
        <v>14</v>
      </c>
    </row>
    <row r="180" customHeight="1" spans="1:7">
      <c r="A180" s="56">
        <v>44100</v>
      </c>
      <c r="B180" s="51">
        <v>12</v>
      </c>
      <c r="C180" s="51">
        <v>19</v>
      </c>
      <c r="D180" s="57" t="s">
        <v>20</v>
      </c>
      <c r="E180" s="57" t="s">
        <v>113</v>
      </c>
      <c r="F180" s="57" t="s">
        <v>144</v>
      </c>
      <c r="G180" s="43">
        <f t="shared" si="2"/>
        <v>15.5</v>
      </c>
    </row>
    <row r="181" customHeight="1" spans="1:7">
      <c r="A181" s="56">
        <v>44101</v>
      </c>
      <c r="B181" s="51">
        <v>14</v>
      </c>
      <c r="C181" s="51">
        <v>21</v>
      </c>
      <c r="D181" s="57" t="s">
        <v>45</v>
      </c>
      <c r="E181" s="57" t="s">
        <v>32</v>
      </c>
      <c r="F181" s="57" t="s">
        <v>108</v>
      </c>
      <c r="G181" s="43">
        <f t="shared" si="2"/>
        <v>17.5</v>
      </c>
    </row>
    <row r="182" customHeight="1" spans="1:7">
      <c r="A182" s="56">
        <v>44102</v>
      </c>
      <c r="B182" s="51">
        <v>15</v>
      </c>
      <c r="C182" s="51">
        <v>20</v>
      </c>
      <c r="D182" s="57" t="s">
        <v>47</v>
      </c>
      <c r="E182" s="57" t="s">
        <v>92</v>
      </c>
      <c r="F182" s="57" t="s">
        <v>40</v>
      </c>
      <c r="G182" s="43">
        <f t="shared" si="2"/>
        <v>17.5</v>
      </c>
    </row>
    <row r="183" customHeight="1" spans="1:7">
      <c r="A183" s="56">
        <v>44103</v>
      </c>
      <c r="B183" s="51">
        <v>12</v>
      </c>
      <c r="C183" s="51">
        <v>15</v>
      </c>
      <c r="D183" s="57" t="s">
        <v>14</v>
      </c>
      <c r="E183" s="57" t="s">
        <v>35</v>
      </c>
      <c r="F183" s="57" t="s">
        <v>101</v>
      </c>
      <c r="G183" s="43">
        <f t="shared" si="2"/>
        <v>13.5</v>
      </c>
    </row>
    <row r="184" customHeight="1" spans="1:7">
      <c r="A184" s="56">
        <v>44104</v>
      </c>
      <c r="B184" s="51">
        <v>13</v>
      </c>
      <c r="C184" s="51">
        <v>16</v>
      </c>
      <c r="D184" s="57" t="s">
        <v>57</v>
      </c>
      <c r="E184" s="57" t="s">
        <v>35</v>
      </c>
      <c r="F184" s="57" t="s">
        <v>75</v>
      </c>
      <c r="G184" s="43">
        <f t="shared" si="2"/>
        <v>14.5</v>
      </c>
    </row>
    <row r="185" customHeight="1" spans="1:7">
      <c r="A185" s="56">
        <v>44105</v>
      </c>
      <c r="B185" s="51">
        <v>12</v>
      </c>
      <c r="C185" s="51">
        <v>18</v>
      </c>
      <c r="D185" s="57" t="s">
        <v>31</v>
      </c>
      <c r="E185" s="57" t="s">
        <v>62</v>
      </c>
      <c r="F185" s="57" t="s">
        <v>102</v>
      </c>
      <c r="G185" s="43">
        <f t="shared" si="2"/>
        <v>15</v>
      </c>
    </row>
    <row r="186" customHeight="1" spans="1:7">
      <c r="A186" s="56">
        <v>44106</v>
      </c>
      <c r="B186" s="51">
        <v>10</v>
      </c>
      <c r="C186" s="51">
        <v>14</v>
      </c>
      <c r="D186" s="57" t="s">
        <v>80</v>
      </c>
      <c r="E186" s="57" t="s">
        <v>150</v>
      </c>
      <c r="F186" s="57" t="s">
        <v>59</v>
      </c>
      <c r="G186" s="43">
        <f t="shared" si="2"/>
        <v>12</v>
      </c>
    </row>
    <row r="187" customHeight="1" spans="1:7">
      <c r="A187" s="56">
        <v>44107</v>
      </c>
      <c r="B187" s="51">
        <v>6</v>
      </c>
      <c r="C187" s="51">
        <v>14</v>
      </c>
      <c r="D187" s="57" t="s">
        <v>80</v>
      </c>
      <c r="E187" s="57" t="s">
        <v>32</v>
      </c>
      <c r="F187" s="57" t="s">
        <v>102</v>
      </c>
      <c r="G187" s="43">
        <f t="shared" si="2"/>
        <v>10</v>
      </c>
    </row>
    <row r="188" customHeight="1" spans="1:7">
      <c r="A188" s="56">
        <v>44108</v>
      </c>
      <c r="B188" s="51">
        <v>3</v>
      </c>
      <c r="C188" s="51">
        <v>10</v>
      </c>
      <c r="D188" s="57" t="s">
        <v>23</v>
      </c>
      <c r="E188" s="57" t="s">
        <v>46</v>
      </c>
      <c r="F188" s="57" t="s">
        <v>145</v>
      </c>
      <c r="G188" s="43">
        <f t="shared" si="2"/>
        <v>6.5</v>
      </c>
    </row>
    <row r="189" customHeight="1" spans="1:7">
      <c r="A189" s="56">
        <v>44109</v>
      </c>
      <c r="B189" s="51">
        <v>4</v>
      </c>
      <c r="C189" s="51">
        <v>12</v>
      </c>
      <c r="D189" s="57" t="s">
        <v>23</v>
      </c>
      <c r="E189" s="57" t="s">
        <v>37</v>
      </c>
      <c r="F189" s="57" t="s">
        <v>134</v>
      </c>
      <c r="G189" s="43">
        <f t="shared" si="2"/>
        <v>8</v>
      </c>
    </row>
    <row r="190" customHeight="1" spans="1:7">
      <c r="A190" s="56">
        <v>44110</v>
      </c>
      <c r="B190" s="51">
        <v>8</v>
      </c>
      <c r="C190" s="51">
        <v>13</v>
      </c>
      <c r="D190" s="57" t="s">
        <v>57</v>
      </c>
      <c r="E190" s="57" t="s">
        <v>92</v>
      </c>
      <c r="F190" s="57" t="s">
        <v>112</v>
      </c>
      <c r="G190" s="43">
        <f t="shared" si="2"/>
        <v>10.5</v>
      </c>
    </row>
    <row r="191" customHeight="1" spans="1:7">
      <c r="A191" s="56">
        <v>44111</v>
      </c>
      <c r="B191" s="51">
        <v>8</v>
      </c>
      <c r="C191" s="51">
        <v>17</v>
      </c>
      <c r="D191" s="57" t="s">
        <v>23</v>
      </c>
      <c r="E191" s="57" t="s">
        <v>92</v>
      </c>
      <c r="F191" s="57" t="s">
        <v>44</v>
      </c>
      <c r="G191" s="43">
        <f t="shared" si="2"/>
        <v>12.5</v>
      </c>
    </row>
    <row r="192" customHeight="1" spans="1:7">
      <c r="A192" s="56">
        <v>44112</v>
      </c>
      <c r="B192" s="51">
        <v>9</v>
      </c>
      <c r="C192" s="51">
        <v>16</v>
      </c>
      <c r="D192" s="57" t="s">
        <v>57</v>
      </c>
      <c r="E192" s="57" t="s">
        <v>32</v>
      </c>
      <c r="F192" s="57" t="s">
        <v>21</v>
      </c>
      <c r="G192" s="43">
        <f t="shared" si="2"/>
        <v>12.5</v>
      </c>
    </row>
    <row r="193" customHeight="1" spans="1:7">
      <c r="A193" s="56">
        <v>44113</v>
      </c>
      <c r="B193" s="51">
        <v>9</v>
      </c>
      <c r="C193" s="51">
        <v>18</v>
      </c>
      <c r="D193" s="57" t="s">
        <v>23</v>
      </c>
      <c r="E193" s="57" t="s">
        <v>92</v>
      </c>
      <c r="F193" s="57" t="s">
        <v>93</v>
      </c>
      <c r="G193" s="43">
        <f t="shared" si="2"/>
        <v>13.5</v>
      </c>
    </row>
    <row r="194" customHeight="1" spans="1:7">
      <c r="A194" s="56">
        <v>44114</v>
      </c>
      <c r="B194" s="51">
        <v>13</v>
      </c>
      <c r="C194" s="51">
        <v>15</v>
      </c>
      <c r="D194" s="57" t="s">
        <v>14</v>
      </c>
      <c r="E194" s="57" t="s">
        <v>127</v>
      </c>
      <c r="F194" s="57" t="s">
        <v>121</v>
      </c>
      <c r="G194" s="43">
        <f t="shared" si="2"/>
        <v>14</v>
      </c>
    </row>
    <row r="195" customHeight="1" spans="1:7">
      <c r="A195" s="56">
        <v>44115</v>
      </c>
      <c r="B195" s="51">
        <v>10</v>
      </c>
      <c r="C195" s="51">
        <v>17</v>
      </c>
      <c r="D195" s="57" t="s">
        <v>57</v>
      </c>
      <c r="E195" s="57" t="s">
        <v>18</v>
      </c>
      <c r="F195" s="57" t="s">
        <v>87</v>
      </c>
      <c r="G195" s="43">
        <f t="shared" ref="G195:G236" si="3">AVERAGE(B195,C195)</f>
        <v>13.5</v>
      </c>
    </row>
    <row r="196" customHeight="1" spans="1:7">
      <c r="A196" s="56">
        <v>44116</v>
      </c>
      <c r="B196" s="51">
        <v>7</v>
      </c>
      <c r="C196" s="51">
        <v>13</v>
      </c>
      <c r="D196" s="57" t="s">
        <v>57</v>
      </c>
      <c r="E196" s="57" t="s">
        <v>35</v>
      </c>
      <c r="F196" s="57" t="s">
        <v>36</v>
      </c>
      <c r="G196" s="43">
        <f t="shared" si="3"/>
        <v>10</v>
      </c>
    </row>
    <row r="197" customHeight="1" spans="1:7">
      <c r="A197" s="56">
        <v>44117</v>
      </c>
      <c r="B197" s="51">
        <v>8</v>
      </c>
      <c r="C197" s="51">
        <v>15</v>
      </c>
      <c r="D197" s="57" t="s">
        <v>31</v>
      </c>
      <c r="E197" s="57" t="s">
        <v>18</v>
      </c>
      <c r="F197" s="57" t="s">
        <v>94</v>
      </c>
      <c r="G197" s="43">
        <f t="shared" si="3"/>
        <v>11.5</v>
      </c>
    </row>
    <row r="198" customHeight="1" spans="1:7">
      <c r="A198" s="56">
        <v>44118</v>
      </c>
      <c r="B198" s="51">
        <v>6</v>
      </c>
      <c r="C198" s="51">
        <v>8</v>
      </c>
      <c r="D198" s="57" t="s">
        <v>115</v>
      </c>
      <c r="E198" s="57" t="s">
        <v>113</v>
      </c>
      <c r="F198" s="57" t="s">
        <v>36</v>
      </c>
      <c r="G198" s="43">
        <f t="shared" si="3"/>
        <v>7</v>
      </c>
    </row>
    <row r="199" customHeight="1" spans="1:7">
      <c r="A199" s="56">
        <v>44119</v>
      </c>
      <c r="B199" s="51">
        <v>8</v>
      </c>
      <c r="C199" s="51">
        <v>12</v>
      </c>
      <c r="D199" s="57" t="s">
        <v>25</v>
      </c>
      <c r="E199" s="57" t="s">
        <v>18</v>
      </c>
      <c r="F199" s="57" t="s">
        <v>53</v>
      </c>
      <c r="G199" s="43">
        <f t="shared" si="3"/>
        <v>10</v>
      </c>
    </row>
    <row r="200" customHeight="1" spans="1:7">
      <c r="A200" s="56">
        <v>44120</v>
      </c>
      <c r="B200" s="51">
        <v>2</v>
      </c>
      <c r="C200" s="51">
        <v>11</v>
      </c>
      <c r="D200" s="57" t="s">
        <v>43</v>
      </c>
      <c r="E200" s="57" t="s">
        <v>37</v>
      </c>
      <c r="F200" s="57" t="s">
        <v>94</v>
      </c>
      <c r="G200" s="43">
        <f t="shared" si="3"/>
        <v>6.5</v>
      </c>
    </row>
    <row r="201" customHeight="1" spans="1:7">
      <c r="A201" s="56">
        <v>44121</v>
      </c>
      <c r="B201" s="51">
        <v>8</v>
      </c>
      <c r="C201" s="51">
        <v>16</v>
      </c>
      <c r="D201" s="57" t="s">
        <v>20</v>
      </c>
      <c r="E201" s="57" t="s">
        <v>18</v>
      </c>
      <c r="F201" s="57" t="s">
        <v>93</v>
      </c>
      <c r="G201" s="43">
        <f t="shared" si="3"/>
        <v>12</v>
      </c>
    </row>
    <row r="202" customHeight="1" spans="1:7">
      <c r="A202" s="56">
        <v>44122</v>
      </c>
      <c r="B202" s="51">
        <v>7</v>
      </c>
      <c r="C202" s="51">
        <v>15</v>
      </c>
      <c r="D202" s="57" t="s">
        <v>20</v>
      </c>
      <c r="E202" s="57" t="s">
        <v>92</v>
      </c>
      <c r="F202" s="57" t="s">
        <v>59</v>
      </c>
      <c r="G202" s="43">
        <f t="shared" si="3"/>
        <v>11</v>
      </c>
    </row>
    <row r="203" customHeight="1" spans="1:7">
      <c r="A203" s="56">
        <v>44123</v>
      </c>
      <c r="B203" s="51">
        <v>8</v>
      </c>
      <c r="C203" s="51">
        <v>17</v>
      </c>
      <c r="D203" s="57" t="s">
        <v>23</v>
      </c>
      <c r="E203" s="57" t="s">
        <v>92</v>
      </c>
      <c r="F203" s="57" t="s">
        <v>64</v>
      </c>
      <c r="G203" s="43">
        <f t="shared" si="3"/>
        <v>12.5</v>
      </c>
    </row>
    <row r="204" customHeight="1" spans="1:7">
      <c r="A204" s="56">
        <v>44124</v>
      </c>
      <c r="B204" s="51">
        <v>7</v>
      </c>
      <c r="C204" s="51">
        <v>14</v>
      </c>
      <c r="D204" s="57" t="s">
        <v>80</v>
      </c>
      <c r="E204" s="57" t="s">
        <v>62</v>
      </c>
      <c r="F204" s="57" t="s">
        <v>65</v>
      </c>
      <c r="G204" s="43">
        <f t="shared" si="3"/>
        <v>10.5</v>
      </c>
    </row>
    <row r="205" customHeight="1" spans="1:7">
      <c r="A205" s="56">
        <v>44125</v>
      </c>
      <c r="B205" s="51">
        <v>1</v>
      </c>
      <c r="C205" s="51">
        <v>12</v>
      </c>
      <c r="D205" s="57" t="s">
        <v>20</v>
      </c>
      <c r="E205" s="57" t="s">
        <v>46</v>
      </c>
      <c r="F205" s="57" t="s">
        <v>152</v>
      </c>
      <c r="G205" s="43">
        <f t="shared" si="3"/>
        <v>6.5</v>
      </c>
    </row>
    <row r="206" customHeight="1" spans="1:7">
      <c r="A206" s="56">
        <v>44126</v>
      </c>
      <c r="B206" s="51">
        <v>2</v>
      </c>
      <c r="C206" s="51">
        <v>12</v>
      </c>
      <c r="D206" s="57" t="s">
        <v>20</v>
      </c>
      <c r="E206" s="57" t="s">
        <v>150</v>
      </c>
      <c r="F206" s="57" t="s">
        <v>79</v>
      </c>
      <c r="G206" s="43">
        <f t="shared" si="3"/>
        <v>7</v>
      </c>
    </row>
    <row r="207" customHeight="1" spans="1:7">
      <c r="A207" s="56">
        <v>44127</v>
      </c>
      <c r="B207" s="51">
        <v>2</v>
      </c>
      <c r="C207" s="51">
        <v>9</v>
      </c>
      <c r="D207" s="57" t="s">
        <v>20</v>
      </c>
      <c r="E207" s="57" t="s">
        <v>37</v>
      </c>
      <c r="F207" s="57" t="s">
        <v>36</v>
      </c>
      <c r="G207" s="43">
        <f t="shared" si="3"/>
        <v>5.5</v>
      </c>
    </row>
    <row r="208" customHeight="1" spans="1:7">
      <c r="A208" s="56">
        <v>44128</v>
      </c>
      <c r="B208" s="51">
        <v>8</v>
      </c>
      <c r="C208" s="51">
        <v>14</v>
      </c>
      <c r="D208" s="57" t="s">
        <v>20</v>
      </c>
      <c r="E208" s="57" t="s">
        <v>92</v>
      </c>
      <c r="F208" s="57" t="s">
        <v>93</v>
      </c>
      <c r="G208" s="43">
        <f t="shared" si="3"/>
        <v>11</v>
      </c>
    </row>
    <row r="209" customHeight="1" spans="1:7">
      <c r="A209" s="56">
        <v>44129</v>
      </c>
      <c r="B209" s="51">
        <v>9</v>
      </c>
      <c r="C209" s="51">
        <v>16</v>
      </c>
      <c r="D209" s="57" t="s">
        <v>17</v>
      </c>
      <c r="E209" s="57" t="s">
        <v>92</v>
      </c>
      <c r="F209" s="57" t="s">
        <v>27</v>
      </c>
      <c r="G209" s="43">
        <f t="shared" si="3"/>
        <v>12.5</v>
      </c>
    </row>
    <row r="210" customHeight="1" spans="1:7">
      <c r="A210" s="56">
        <v>44130</v>
      </c>
      <c r="B210" s="51">
        <v>8</v>
      </c>
      <c r="C210" s="51">
        <v>18</v>
      </c>
      <c r="D210" s="57" t="s">
        <v>23</v>
      </c>
      <c r="E210" s="57" t="s">
        <v>122</v>
      </c>
      <c r="F210" s="57" t="s">
        <v>153</v>
      </c>
      <c r="G210" s="43">
        <f t="shared" si="3"/>
        <v>13</v>
      </c>
    </row>
    <row r="211" customHeight="1" spans="1:7">
      <c r="A211" s="56">
        <v>44131</v>
      </c>
      <c r="B211" s="51">
        <v>7</v>
      </c>
      <c r="C211" s="51">
        <v>11</v>
      </c>
      <c r="D211" s="57" t="s">
        <v>57</v>
      </c>
      <c r="E211" s="57" t="s">
        <v>35</v>
      </c>
      <c r="F211" s="57" t="s">
        <v>154</v>
      </c>
      <c r="G211" s="43">
        <f t="shared" si="3"/>
        <v>9</v>
      </c>
    </row>
    <row r="212" customHeight="1" spans="1:7">
      <c r="A212" s="56">
        <v>44132</v>
      </c>
      <c r="B212" s="51">
        <v>6</v>
      </c>
      <c r="C212" s="51">
        <v>12</v>
      </c>
      <c r="D212" s="57" t="s">
        <v>14</v>
      </c>
      <c r="E212" s="57" t="s">
        <v>35</v>
      </c>
      <c r="F212" s="57" t="s">
        <v>58</v>
      </c>
      <c r="G212" s="43">
        <f t="shared" si="3"/>
        <v>9</v>
      </c>
    </row>
    <row r="213" customHeight="1" spans="1:7">
      <c r="A213" s="56">
        <v>44133</v>
      </c>
      <c r="B213" s="51">
        <v>4</v>
      </c>
      <c r="C213" s="51">
        <v>9</v>
      </c>
      <c r="D213" s="57" t="s">
        <v>80</v>
      </c>
      <c r="E213" s="57" t="s">
        <v>127</v>
      </c>
      <c r="F213" s="57" t="s">
        <v>65</v>
      </c>
      <c r="G213" s="43">
        <f t="shared" si="3"/>
        <v>6.5</v>
      </c>
    </row>
    <row r="214" customHeight="1" spans="1:7">
      <c r="A214" s="56">
        <v>44134</v>
      </c>
      <c r="B214" s="51">
        <v>9</v>
      </c>
      <c r="C214" s="51">
        <v>13</v>
      </c>
      <c r="D214" s="57" t="s">
        <v>47</v>
      </c>
      <c r="E214" s="57" t="s">
        <v>32</v>
      </c>
      <c r="F214" s="57" t="s">
        <v>70</v>
      </c>
      <c r="G214" s="43">
        <f t="shared" si="3"/>
        <v>11</v>
      </c>
    </row>
    <row r="215" customHeight="1" spans="1:7">
      <c r="A215" s="56">
        <v>44135</v>
      </c>
      <c r="B215" s="51">
        <v>6</v>
      </c>
      <c r="C215" s="51">
        <v>9</v>
      </c>
      <c r="D215" s="57" t="s">
        <v>80</v>
      </c>
      <c r="E215" s="57" t="s">
        <v>26</v>
      </c>
      <c r="F215" s="57" t="s">
        <v>44</v>
      </c>
      <c r="G215" s="43">
        <f t="shared" si="3"/>
        <v>7.5</v>
      </c>
    </row>
    <row r="216" customHeight="1" spans="1:7">
      <c r="A216" s="56">
        <v>44136</v>
      </c>
      <c r="B216" s="51">
        <v>5</v>
      </c>
      <c r="C216" s="51">
        <v>11</v>
      </c>
      <c r="D216" s="57" t="s">
        <v>57</v>
      </c>
      <c r="E216" s="57" t="s">
        <v>35</v>
      </c>
      <c r="F216" s="57" t="s">
        <v>155</v>
      </c>
      <c r="G216" s="43">
        <f t="shared" si="3"/>
        <v>8</v>
      </c>
    </row>
    <row r="217" customHeight="1" spans="1:7">
      <c r="A217" s="56">
        <v>44137</v>
      </c>
      <c r="B217" s="51">
        <v>3</v>
      </c>
      <c r="C217" s="51">
        <v>9</v>
      </c>
      <c r="D217" s="57" t="s">
        <v>20</v>
      </c>
      <c r="E217" s="57" t="s">
        <v>46</v>
      </c>
      <c r="F217" s="57" t="s">
        <v>99</v>
      </c>
      <c r="G217" s="43">
        <f t="shared" si="3"/>
        <v>6</v>
      </c>
    </row>
    <row r="218" customHeight="1" spans="1:7">
      <c r="A218" s="56">
        <v>44138</v>
      </c>
      <c r="B218" s="51">
        <v>2</v>
      </c>
      <c r="C218" s="51">
        <v>8</v>
      </c>
      <c r="D218" s="57" t="s">
        <v>20</v>
      </c>
      <c r="E218" s="57" t="s">
        <v>156</v>
      </c>
      <c r="F218" s="57" t="s">
        <v>39</v>
      </c>
      <c r="G218" s="43">
        <f t="shared" si="3"/>
        <v>5</v>
      </c>
    </row>
    <row r="219" customHeight="1" spans="1:7">
      <c r="A219" s="56">
        <v>44139</v>
      </c>
      <c r="B219" s="51">
        <v>9</v>
      </c>
      <c r="C219" s="51">
        <v>11</v>
      </c>
      <c r="D219" s="57" t="s">
        <v>20</v>
      </c>
      <c r="E219" s="57" t="s">
        <v>62</v>
      </c>
      <c r="F219" s="57" t="s">
        <v>144</v>
      </c>
      <c r="G219" s="43">
        <f t="shared" si="3"/>
        <v>10</v>
      </c>
    </row>
    <row r="220" customHeight="1" spans="1:7">
      <c r="A220" s="56">
        <v>44140</v>
      </c>
      <c r="B220" s="51">
        <v>8</v>
      </c>
      <c r="C220" s="51">
        <v>11</v>
      </c>
      <c r="D220" s="57" t="s">
        <v>25</v>
      </c>
      <c r="E220" s="57" t="s">
        <v>62</v>
      </c>
      <c r="F220" s="57" t="s">
        <v>39</v>
      </c>
      <c r="G220" s="43">
        <f t="shared" si="3"/>
        <v>9.5</v>
      </c>
    </row>
    <row r="221" customHeight="1" spans="1:7">
      <c r="A221" s="56">
        <v>44141</v>
      </c>
      <c r="B221" s="51">
        <v>5</v>
      </c>
      <c r="C221" s="51">
        <v>14</v>
      </c>
      <c r="D221" s="57" t="s">
        <v>20</v>
      </c>
      <c r="E221" s="57" t="s">
        <v>26</v>
      </c>
      <c r="F221" s="57" t="s">
        <v>44</v>
      </c>
      <c r="G221" s="43">
        <f t="shared" si="3"/>
        <v>9.5</v>
      </c>
    </row>
    <row r="222" customHeight="1" spans="1:7">
      <c r="A222" s="56">
        <v>44142</v>
      </c>
      <c r="B222" s="51">
        <v>2</v>
      </c>
      <c r="C222" s="51">
        <v>13</v>
      </c>
      <c r="D222" s="57" t="s">
        <v>20</v>
      </c>
      <c r="E222" s="57" t="s">
        <v>37</v>
      </c>
      <c r="F222" s="57" t="s">
        <v>121</v>
      </c>
      <c r="G222" s="43">
        <f t="shared" si="3"/>
        <v>7.5</v>
      </c>
    </row>
    <row r="223" customHeight="1" spans="1:7">
      <c r="A223" s="56">
        <v>44143</v>
      </c>
      <c r="B223" s="51">
        <v>2</v>
      </c>
      <c r="C223" s="51">
        <v>8</v>
      </c>
      <c r="D223" s="57" t="s">
        <v>20</v>
      </c>
      <c r="E223" s="57" t="s">
        <v>35</v>
      </c>
      <c r="F223" s="57" t="s">
        <v>84</v>
      </c>
      <c r="G223" s="43">
        <f t="shared" si="3"/>
        <v>5</v>
      </c>
    </row>
    <row r="224" customHeight="1" spans="1:7">
      <c r="A224" s="56">
        <v>44144</v>
      </c>
      <c r="B224" s="51">
        <v>3</v>
      </c>
      <c r="C224" s="51">
        <v>10</v>
      </c>
      <c r="D224" s="57" t="s">
        <v>20</v>
      </c>
      <c r="E224" s="57" t="s">
        <v>18</v>
      </c>
      <c r="F224" s="57" t="s">
        <v>105</v>
      </c>
      <c r="G224" s="43">
        <f t="shared" si="3"/>
        <v>6.5</v>
      </c>
    </row>
    <row r="225" customHeight="1" spans="1:8">
      <c r="A225" s="56">
        <v>44145</v>
      </c>
      <c r="B225" s="51">
        <v>5</v>
      </c>
      <c r="C225" s="51">
        <v>4</v>
      </c>
      <c r="D225" s="57" t="s">
        <v>20</v>
      </c>
      <c r="E225" s="57" t="s">
        <v>92</v>
      </c>
      <c r="F225" s="57" t="s">
        <v>22</v>
      </c>
      <c r="G225" s="43">
        <f t="shared" si="3"/>
        <v>4.5</v>
      </c>
      <c r="H225" s="53" t="s">
        <v>157</v>
      </c>
    </row>
    <row r="226" customHeight="1" spans="1:7">
      <c r="A226" s="56">
        <v>44146</v>
      </c>
      <c r="B226" s="51">
        <v>11</v>
      </c>
      <c r="C226" s="51">
        <v>14</v>
      </c>
      <c r="D226" s="57" t="s">
        <v>20</v>
      </c>
      <c r="E226" s="57" t="s">
        <v>62</v>
      </c>
      <c r="F226" s="57" t="s">
        <v>128</v>
      </c>
      <c r="G226" s="43">
        <f t="shared" si="3"/>
        <v>12.5</v>
      </c>
    </row>
    <row r="227" customHeight="1" spans="1:7">
      <c r="A227" s="56">
        <v>44147</v>
      </c>
      <c r="B227" s="51">
        <v>4</v>
      </c>
      <c r="C227" s="51">
        <v>14</v>
      </c>
      <c r="D227" s="57" t="s">
        <v>20</v>
      </c>
      <c r="E227" s="57" t="s">
        <v>26</v>
      </c>
      <c r="F227" s="57" t="s">
        <v>123</v>
      </c>
      <c r="G227" s="43">
        <f t="shared" si="3"/>
        <v>9</v>
      </c>
    </row>
    <row r="228" customHeight="1" spans="1:7">
      <c r="A228" s="56">
        <v>44148</v>
      </c>
      <c r="B228" s="51">
        <v>5</v>
      </c>
      <c r="C228" s="51">
        <v>10</v>
      </c>
      <c r="D228" s="57" t="s">
        <v>23</v>
      </c>
      <c r="E228" s="57" t="s">
        <v>35</v>
      </c>
      <c r="F228" s="57" t="s">
        <v>158</v>
      </c>
      <c r="G228" s="43">
        <f t="shared" si="3"/>
        <v>7.5</v>
      </c>
    </row>
    <row r="229" customHeight="1" spans="1:7">
      <c r="A229" s="56">
        <v>44149</v>
      </c>
      <c r="B229" s="51">
        <v>7</v>
      </c>
      <c r="C229" s="51">
        <v>12</v>
      </c>
      <c r="D229" s="57" t="s">
        <v>80</v>
      </c>
      <c r="E229" s="57" t="s">
        <v>92</v>
      </c>
      <c r="F229" s="57" t="s">
        <v>159</v>
      </c>
      <c r="G229" s="43">
        <f t="shared" si="3"/>
        <v>9.5</v>
      </c>
    </row>
    <row r="230" customHeight="1" spans="1:7">
      <c r="A230" s="56">
        <v>44150</v>
      </c>
      <c r="B230" s="51">
        <v>7</v>
      </c>
      <c r="C230" s="51">
        <v>14</v>
      </c>
      <c r="D230" s="57" t="s">
        <v>23</v>
      </c>
      <c r="E230" s="57" t="s">
        <v>92</v>
      </c>
      <c r="F230" s="57" t="s">
        <v>129</v>
      </c>
      <c r="G230" s="43">
        <f t="shared" si="3"/>
        <v>10.5</v>
      </c>
    </row>
    <row r="231" customHeight="1" spans="1:7">
      <c r="A231" s="56">
        <v>44151</v>
      </c>
      <c r="B231" s="51">
        <v>8</v>
      </c>
      <c r="C231" s="51">
        <v>15</v>
      </c>
      <c r="D231" s="57" t="s">
        <v>80</v>
      </c>
      <c r="E231" s="57" t="s">
        <v>32</v>
      </c>
      <c r="F231" s="57" t="s">
        <v>160</v>
      </c>
      <c r="G231" s="43">
        <f t="shared" si="3"/>
        <v>11.5</v>
      </c>
    </row>
    <row r="232" customHeight="1" spans="1:7">
      <c r="A232" s="56">
        <v>44152</v>
      </c>
      <c r="B232" s="51">
        <v>6</v>
      </c>
      <c r="C232" s="51">
        <v>10</v>
      </c>
      <c r="D232" s="57" t="s">
        <v>161</v>
      </c>
      <c r="E232" s="57" t="s">
        <v>32</v>
      </c>
      <c r="F232" s="57" t="s">
        <v>105</v>
      </c>
      <c r="G232" s="43">
        <f t="shared" si="3"/>
        <v>8</v>
      </c>
    </row>
    <row r="233" customHeight="1" spans="1:7">
      <c r="A233" s="56">
        <v>44153</v>
      </c>
      <c r="B233" s="51">
        <v>2</v>
      </c>
      <c r="C233" s="51">
        <v>12</v>
      </c>
      <c r="D233" s="57" t="s">
        <v>73</v>
      </c>
      <c r="E233" s="57" t="s">
        <v>26</v>
      </c>
      <c r="F233" s="57" t="s">
        <v>107</v>
      </c>
      <c r="G233" s="43">
        <f t="shared" si="3"/>
        <v>7</v>
      </c>
    </row>
    <row r="234" customHeight="1" spans="1:7">
      <c r="A234" s="56">
        <v>44154</v>
      </c>
      <c r="B234" s="51">
        <v>2</v>
      </c>
      <c r="C234" s="51">
        <v>4</v>
      </c>
      <c r="D234" s="57" t="s">
        <v>43</v>
      </c>
      <c r="E234" s="57" t="s">
        <v>150</v>
      </c>
      <c r="F234" s="57" t="s">
        <v>116</v>
      </c>
      <c r="G234" s="43">
        <f t="shared" si="3"/>
        <v>3</v>
      </c>
    </row>
    <row r="235" customHeight="1" spans="1:7">
      <c r="A235" s="56">
        <v>44155</v>
      </c>
      <c r="B235" s="51">
        <v>1</v>
      </c>
      <c r="C235" s="51">
        <v>2</v>
      </c>
      <c r="D235" s="57" t="s">
        <v>162</v>
      </c>
      <c r="E235" s="57" t="s">
        <v>35</v>
      </c>
      <c r="F235" s="57" t="s">
        <v>126</v>
      </c>
      <c r="G235" s="43">
        <f t="shared" si="3"/>
        <v>1.5</v>
      </c>
    </row>
    <row r="236" customHeight="1" spans="1:7">
      <c r="A236" s="56">
        <v>44156</v>
      </c>
      <c r="B236" s="58">
        <v>2</v>
      </c>
      <c r="C236" s="51">
        <v>4</v>
      </c>
      <c r="D236" s="57" t="s">
        <v>163</v>
      </c>
      <c r="E236" s="57" t="s">
        <v>150</v>
      </c>
      <c r="F236" s="57" t="s">
        <v>149</v>
      </c>
      <c r="G236" s="43">
        <f t="shared" si="3"/>
        <v>3</v>
      </c>
    </row>
  </sheetData>
  <dataValidations count="3">
    <dataValidation allowBlank="1" showInputMessage="1" showErrorMessage="1" prompt="点击至第一行" sqref="H1"/>
    <dataValidation allowBlank="1" showInputMessage="1" showErrorMessage="1" prompt="点击至最后记录数据一行" sqref="I1"/>
    <dataValidation allowBlank="1" showInputMessage="1" showErrorMessage="1" prompt="写入工程名称，方便自动提取&#10;" sqref="N1"/>
  </dataValidations>
  <hyperlinks>
    <hyperlink ref="H1" location="温度记录!A2" display="至首行"/>
    <hyperlink ref="K1" location="目录!A1" display="返回目录"/>
  </hyperlink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2"/>
  <sheetViews>
    <sheetView view="pageBreakPreview" zoomScaleNormal="100" zoomScaleSheetLayoutView="100" workbookViewId="0">
      <selection activeCell="K1" sqref="K1"/>
    </sheetView>
  </sheetViews>
  <sheetFormatPr defaultColWidth="9" defaultRowHeight="18" customHeight="1"/>
  <cols>
    <col min="1" max="1" width="4.3" style="1" customWidth="1"/>
    <col min="2" max="3" width="7.7" style="1" customWidth="1"/>
    <col min="4" max="4" width="9.41666666666667" style="2"/>
    <col min="5" max="5" width="9.41666666666667" style="1"/>
    <col min="6" max="6" width="10.25" style="1" customWidth="1"/>
    <col min="7" max="7" width="10" style="1" customWidth="1"/>
    <col min="8" max="8" width="9" style="3"/>
    <col min="9" max="20" width="9" style="1"/>
    <col min="21" max="21" width="9" style="1" customWidth="1"/>
    <col min="22" max="16384" width="9" style="1"/>
  </cols>
  <sheetData>
    <row r="1" customHeight="1" spans="1:11">
      <c r="A1" s="4" t="s">
        <v>164</v>
      </c>
      <c r="B1" s="4"/>
      <c r="C1" s="4"/>
      <c r="D1" s="4"/>
      <c r="E1" s="4"/>
      <c r="F1" s="4"/>
      <c r="G1" s="4"/>
      <c r="H1" s="5"/>
      <c r="I1" s="4"/>
      <c r="K1" s="35" t="s">
        <v>11</v>
      </c>
    </row>
    <row r="2" customHeight="1" spans="1:9">
      <c r="A2" s="4"/>
      <c r="B2" s="4"/>
      <c r="C2" s="4"/>
      <c r="D2" s="4"/>
      <c r="E2" s="4"/>
      <c r="F2" s="4"/>
      <c r="G2" s="4"/>
      <c r="H2" s="5"/>
      <c r="I2" s="4"/>
    </row>
    <row r="3" customHeight="1" spans="1:9">
      <c r="A3" s="6" t="s">
        <v>12</v>
      </c>
      <c r="B3" s="6"/>
      <c r="C3" s="7" t="str">
        <f>温度记录!N1</f>
        <v>XX工程</v>
      </c>
      <c r="D3" s="7"/>
      <c r="E3" s="7"/>
      <c r="F3" s="8" t="s">
        <v>165</v>
      </c>
      <c r="G3" s="7" t="str">
        <f ca="1">RIGHTB(CELL("filename",A1),LENB(CELL("filename",A1))-FINDB("]",CELL("filename",A1)))</f>
        <v>基础底板</v>
      </c>
      <c r="H3" s="9"/>
      <c r="I3" s="7"/>
    </row>
    <row r="4" customHeight="1" spans="1:9">
      <c r="A4" s="6"/>
      <c r="B4" s="6"/>
      <c r="C4" s="7"/>
      <c r="D4" s="7"/>
      <c r="E4" s="7"/>
      <c r="F4" s="10" t="s">
        <v>166</v>
      </c>
      <c r="G4" s="10"/>
      <c r="H4" s="11" t="s">
        <v>167</v>
      </c>
      <c r="I4" s="36"/>
    </row>
    <row r="5" customHeight="1" spans="1:9">
      <c r="A5" s="12" t="s">
        <v>0</v>
      </c>
      <c r="B5" s="13">
        <v>2020</v>
      </c>
      <c r="C5" s="13"/>
      <c r="D5" s="12" t="s">
        <v>168</v>
      </c>
      <c r="E5" s="12"/>
      <c r="F5" s="14" t="s">
        <v>169</v>
      </c>
      <c r="G5" s="14" t="s">
        <v>170</v>
      </c>
      <c r="H5" s="15" t="s">
        <v>171</v>
      </c>
      <c r="I5" s="14" t="s">
        <v>172</v>
      </c>
    </row>
    <row r="6" customHeight="1" spans="1:9">
      <c r="A6" s="12"/>
      <c r="B6" s="12" t="s">
        <v>173</v>
      </c>
      <c r="C6" s="12" t="s">
        <v>174</v>
      </c>
      <c r="D6" s="16" t="s">
        <v>175</v>
      </c>
      <c r="E6" s="14" t="s">
        <v>176</v>
      </c>
      <c r="F6" s="14"/>
      <c r="G6" s="14"/>
      <c r="H6" s="15"/>
      <c r="I6" s="14"/>
    </row>
    <row r="7" customHeight="1" spans="1:9">
      <c r="A7" s="12">
        <v>1</v>
      </c>
      <c r="B7" s="7">
        <v>5</v>
      </c>
      <c r="C7" s="7">
        <v>9</v>
      </c>
      <c r="D7" s="17">
        <f ca="1">IFERROR(VLOOKUP(DATE($B$5,$B7,$C7),温度记录!$A:$C,2,1),"")</f>
        <v>8</v>
      </c>
      <c r="E7" s="17">
        <f ca="1">IFERROR(VLOOKUP(DATE($B$5,$B7,$C7),温度记录!$A:$C,3,1),"")</f>
        <v>11</v>
      </c>
      <c r="F7" s="18">
        <f ca="1">IFERROR(AVERAGE(D7,E7),"")</f>
        <v>9.5</v>
      </c>
      <c r="G7" s="19" t="str">
        <f ca="1">IFERROR(IF(F7&gt;=5,"√","×"),"")</f>
        <v>√</v>
      </c>
      <c r="H7" s="20">
        <f ca="1">IFERROR(IF(F7&lt;5,"",SUM(F7+MAX($H$6:$H6))),"")</f>
        <v>9.5</v>
      </c>
      <c r="I7" s="12">
        <f ca="1">IFERROR(IF(H7="","",MAX($I$6:$I6)+1),"")</f>
        <v>1</v>
      </c>
    </row>
    <row r="8" customHeight="1" spans="1:9">
      <c r="A8" s="12">
        <v>2</v>
      </c>
      <c r="B8" s="7">
        <v>5</v>
      </c>
      <c r="C8" s="7">
        <v>10</v>
      </c>
      <c r="D8" s="17">
        <f ca="1">IFERROR(VLOOKUP(DATE($B$5,$B8,$C8),温度记录!$A:$C,2,1),"")</f>
        <v>9</v>
      </c>
      <c r="E8" s="17">
        <f ca="1">IFERROR(VLOOKUP(DATE($B$5,$B8,$C8),温度记录!$A:$C,3,1),"")</f>
        <v>20</v>
      </c>
      <c r="F8" s="18">
        <f ca="1" t="shared" ref="F8:F14" si="0">IFERROR(AVERAGE(D8,E8),"")</f>
        <v>14.5</v>
      </c>
      <c r="G8" s="19" t="str">
        <f ca="1" t="shared" ref="G8:G38" si="1">IFERROR(IF(F8&gt;=5,"√","×"),"")</f>
        <v>√</v>
      </c>
      <c r="H8" s="20">
        <f ca="1">IFERROR(IF(F8&lt;5,"",SUM(F8+MAX($H$6:$H7))),"")</f>
        <v>24</v>
      </c>
      <c r="I8" s="12">
        <f ca="1">IFERROR(IF(H8="","",MAX($I$6:$I7)+1),"")</f>
        <v>2</v>
      </c>
    </row>
    <row r="9" customHeight="1" spans="1:9">
      <c r="A9" s="12">
        <v>3</v>
      </c>
      <c r="B9" s="7">
        <v>5</v>
      </c>
      <c r="C9" s="7">
        <v>11</v>
      </c>
      <c r="D9" s="17">
        <f ca="1">IFERROR(VLOOKUP(DATE($B$5,$B9,$C9),温度记录!$A:$C,2,1),"")</f>
        <v>9</v>
      </c>
      <c r="E9" s="17">
        <f ca="1">IFERROR(VLOOKUP(DATE($B$5,$B9,$C9),温度记录!$A:$C,3,1),"")</f>
        <v>15</v>
      </c>
      <c r="F9" s="18">
        <f ca="1" t="shared" si="0"/>
        <v>12</v>
      </c>
      <c r="G9" s="19" t="str">
        <f ca="1" t="shared" si="1"/>
        <v>√</v>
      </c>
      <c r="H9" s="20">
        <f ca="1">IFERROR(IF(F9&lt;5,"",SUM(F9+MAX($H$6:$H8))),"")</f>
        <v>36</v>
      </c>
      <c r="I9" s="12">
        <f ca="1">IFERROR(IF(H9="","",MAX($I$6:$I8)+1),"")</f>
        <v>3</v>
      </c>
    </row>
    <row r="10" customHeight="1" spans="1:9">
      <c r="A10" s="12">
        <v>4</v>
      </c>
      <c r="B10" s="7">
        <v>5</v>
      </c>
      <c r="C10" s="7">
        <v>12</v>
      </c>
      <c r="D10" s="17">
        <f ca="1">IFERROR(VLOOKUP(DATE($B$5,$B10,$C10),温度记录!$A:$C,2,1),"")</f>
        <v>13</v>
      </c>
      <c r="E10" s="17">
        <f ca="1">IFERROR(VLOOKUP(DATE($B$5,$B10,$C10),温度记录!$A:$C,3,1),"")</f>
        <v>17</v>
      </c>
      <c r="F10" s="18">
        <f ca="1" t="shared" si="0"/>
        <v>15</v>
      </c>
      <c r="G10" s="19" t="str">
        <f ca="1" t="shared" si="1"/>
        <v>√</v>
      </c>
      <c r="H10" s="20">
        <f ca="1">IFERROR(IF(F10&lt;5,"",SUM(F10+MAX($H$6:$H9))),"")</f>
        <v>51</v>
      </c>
      <c r="I10" s="12">
        <f ca="1">IFERROR(IF(H10="","",MAX($I$6:$I9)+1),"")</f>
        <v>4</v>
      </c>
    </row>
    <row r="11" customHeight="1" spans="1:9">
      <c r="A11" s="12">
        <v>5</v>
      </c>
      <c r="B11" s="7">
        <v>5</v>
      </c>
      <c r="C11" s="7">
        <v>13</v>
      </c>
      <c r="D11" s="17">
        <f ca="1">IFERROR(VLOOKUP(DATE($B$5,$B11,$C11),温度记录!$A:$C,2,1),"")</f>
        <v>16</v>
      </c>
      <c r="E11" s="17">
        <f ca="1">IFERROR(VLOOKUP(DATE($B$5,$B11,$C11),温度记录!$A:$C,3,1),"")</f>
        <v>24</v>
      </c>
      <c r="F11" s="18">
        <f ca="1" t="shared" si="0"/>
        <v>20</v>
      </c>
      <c r="G11" s="19" t="str">
        <f ca="1" t="shared" si="1"/>
        <v>√</v>
      </c>
      <c r="H11" s="20">
        <f ca="1">IFERROR(IF(F11&lt;5,"",SUM(F11+MAX($H$6:$H10))),"")</f>
        <v>71</v>
      </c>
      <c r="I11" s="12">
        <f ca="1">IFERROR(IF(H11="","",MAX($I$6:$I10)+1),"")</f>
        <v>5</v>
      </c>
    </row>
    <row r="12" customHeight="1" spans="1:9">
      <c r="A12" s="12">
        <v>6</v>
      </c>
      <c r="B12" s="7">
        <v>5</v>
      </c>
      <c r="C12" s="7">
        <v>14</v>
      </c>
      <c r="D12" s="17">
        <f ca="1">IFERROR(VLOOKUP(DATE($B$5,$B12,$C12),温度记录!$A:$C,2,1),"")</f>
        <v>1</v>
      </c>
      <c r="E12" s="17">
        <f ca="1">IFERROR(VLOOKUP(DATE($B$5,$B12,$C12),温度记录!$A:$C,3,1),"")</f>
        <v>3</v>
      </c>
      <c r="F12" s="18">
        <f ca="1" t="shared" si="0"/>
        <v>2</v>
      </c>
      <c r="G12" s="19" t="str">
        <f ca="1" t="shared" si="1"/>
        <v>×</v>
      </c>
      <c r="H12" s="20" t="str">
        <f ca="1">IFERROR(IF(F12&lt;5,"",SUM(F12+MAX($H$6:$H11))),"")</f>
        <v/>
      </c>
      <c r="I12" s="12" t="str">
        <f ca="1">IFERROR(IF(H12="","",MAX($I$6:$I11)+1),"")</f>
        <v/>
      </c>
    </row>
    <row r="13" customHeight="1" spans="1:9">
      <c r="A13" s="12">
        <v>7</v>
      </c>
      <c r="B13" s="7">
        <v>5</v>
      </c>
      <c r="C13" s="7">
        <v>15</v>
      </c>
      <c r="D13" s="17">
        <f ca="1">IFERROR(VLOOKUP(DATE($B$5,$B13,$C13),温度记录!$A:$C,2,1),"")</f>
        <v>18</v>
      </c>
      <c r="E13" s="17">
        <f ca="1">IFERROR(VLOOKUP(DATE($B$5,$B13,$C13),温度记录!$A:$C,3,1),"")</f>
        <v>20</v>
      </c>
      <c r="F13" s="18">
        <f ca="1" t="shared" si="0"/>
        <v>19</v>
      </c>
      <c r="G13" s="19" t="str">
        <f ca="1" t="shared" si="1"/>
        <v>√</v>
      </c>
      <c r="H13" s="20">
        <f ca="1">IFERROR(IF(F13&lt;5,"",SUM(F13+MAX($H$6:$H12))),"")</f>
        <v>90</v>
      </c>
      <c r="I13" s="12">
        <f ca="1">IFERROR(IF(H13="","",MAX($I$6:$I12)+1),"")</f>
        <v>6</v>
      </c>
    </row>
    <row r="14" customHeight="1" spans="1:9">
      <c r="A14" s="12">
        <v>8</v>
      </c>
      <c r="B14" s="7">
        <v>5</v>
      </c>
      <c r="C14" s="7">
        <v>16</v>
      </c>
      <c r="D14" s="17">
        <f ca="1">IFERROR(VLOOKUP(DATE($B$5,$B14,$C14),温度记录!$A:$C,2,1),"")</f>
        <v>12</v>
      </c>
      <c r="E14" s="17">
        <f ca="1">IFERROR(VLOOKUP(DATE($B$5,$B14,$C14),温度记录!$A:$C,3,1),"")</f>
        <v>23</v>
      </c>
      <c r="F14" s="18">
        <f ca="1" t="shared" si="0"/>
        <v>17.5</v>
      </c>
      <c r="G14" s="19" t="str">
        <f ca="1" t="shared" si="1"/>
        <v>√</v>
      </c>
      <c r="H14" s="20">
        <f ca="1">IFERROR(IF(F14&lt;5,"",SUM(F14+MAX($H$6:$H13))),"")</f>
        <v>107.5</v>
      </c>
      <c r="I14" s="12">
        <f ca="1">IFERROR(IF(H14="","",MAX($I$6:$I13)+1),"")</f>
        <v>7</v>
      </c>
    </row>
    <row r="15" customHeight="1" spans="1:9">
      <c r="A15" s="12">
        <v>9</v>
      </c>
      <c r="B15" s="7">
        <v>5</v>
      </c>
      <c r="C15" s="7">
        <v>17</v>
      </c>
      <c r="D15" s="17">
        <f ca="1">IFERROR(VLOOKUP(DATE($B$5,$B15,$C15),温度记录!$A:$C,2,1),"")</f>
        <v>7</v>
      </c>
      <c r="E15" s="17">
        <f ca="1">IFERROR(VLOOKUP(DATE($B$5,$B15,$C15),温度记录!$A:$C,3,1),"")</f>
        <v>22</v>
      </c>
      <c r="F15" s="18">
        <f ca="1" t="shared" ref="F15:F38" si="2">IFERROR(AVERAGE(D15,E15),"")</f>
        <v>14.5</v>
      </c>
      <c r="G15" s="19" t="str">
        <f ca="1" t="shared" si="1"/>
        <v>√</v>
      </c>
      <c r="H15" s="20">
        <f ca="1">IFERROR(IF(F15&lt;5,"",SUM(F15+MAX($H$6:$H14))),"")</f>
        <v>122</v>
      </c>
      <c r="I15" s="12">
        <f ca="1">IFERROR(IF(H15="","",MAX($I$6:$I14)+1),"")</f>
        <v>8</v>
      </c>
    </row>
    <row r="16" customHeight="1" spans="1:9">
      <c r="A16" s="12">
        <v>10</v>
      </c>
      <c r="B16" s="7">
        <v>5</v>
      </c>
      <c r="C16" s="7">
        <v>18</v>
      </c>
      <c r="D16" s="17">
        <f ca="1">IFERROR(VLOOKUP(DATE($B$5,$B16,$C16),温度记录!$A:$C,2,1),"")</f>
        <v>10</v>
      </c>
      <c r="E16" s="17">
        <f ca="1">IFERROR(VLOOKUP(DATE($B$5,$B16,$C16),温度记录!$A:$C,3,1),"")</f>
        <v>14</v>
      </c>
      <c r="F16" s="18">
        <f ca="1" t="shared" si="2"/>
        <v>12</v>
      </c>
      <c r="G16" s="19" t="str">
        <f ca="1" t="shared" si="1"/>
        <v>√</v>
      </c>
      <c r="H16" s="20">
        <f ca="1">IFERROR(IF(F16&lt;5,"",SUM(F16+MAX($H$6:$H15))),"")</f>
        <v>134</v>
      </c>
      <c r="I16" s="12">
        <f ca="1">IFERROR(IF(H16="","",MAX($I$6:$I15)+1),"")</f>
        <v>9</v>
      </c>
    </row>
    <row r="17" customHeight="1" spans="1:9">
      <c r="A17" s="12">
        <v>11</v>
      </c>
      <c r="B17" s="7">
        <v>5</v>
      </c>
      <c r="C17" s="7">
        <v>19</v>
      </c>
      <c r="D17" s="17">
        <f ca="1">IFERROR(VLOOKUP(DATE($B$5,$B17,$C17),温度记录!$A:$C,2,1),"")</f>
        <v>14</v>
      </c>
      <c r="E17" s="17">
        <f ca="1">IFERROR(VLOOKUP(DATE($B$5,$B17,$C17),温度记录!$A:$C,3,1),"")</f>
        <v>21</v>
      </c>
      <c r="F17" s="18">
        <f ca="1" t="shared" si="2"/>
        <v>17.5</v>
      </c>
      <c r="G17" s="19" t="str">
        <f ca="1" t="shared" si="1"/>
        <v>√</v>
      </c>
      <c r="H17" s="20">
        <f ca="1">IFERROR(IF(F17&lt;5,"",SUM(F17+MAX($H$6:$H16))),"")</f>
        <v>151.5</v>
      </c>
      <c r="I17" s="12">
        <f ca="1">IFERROR(IF(H17="","",MAX($I$6:$I16)+1),"")</f>
        <v>10</v>
      </c>
    </row>
    <row r="18" customHeight="1" spans="1:9">
      <c r="A18" s="12">
        <v>12</v>
      </c>
      <c r="B18" s="7">
        <v>5</v>
      </c>
      <c r="C18" s="7">
        <v>20</v>
      </c>
      <c r="D18" s="17">
        <f ca="1">IFERROR(VLOOKUP(DATE($B$5,$B18,$C18),温度记录!$A:$C,2,1),"")</f>
        <v>18</v>
      </c>
      <c r="E18" s="17">
        <f ca="1">IFERROR(VLOOKUP(DATE($B$5,$B18,$C18),温度记录!$A:$C,3,1),"")</f>
        <v>25</v>
      </c>
      <c r="F18" s="18">
        <f ca="1" t="shared" si="2"/>
        <v>21.5</v>
      </c>
      <c r="G18" s="19" t="str">
        <f ca="1" t="shared" si="1"/>
        <v>√</v>
      </c>
      <c r="H18" s="20">
        <f ca="1">IFERROR(IF(F18&lt;5,"",SUM(F18+MAX($H$6:$H17))),"")</f>
        <v>173</v>
      </c>
      <c r="I18" s="12">
        <f ca="1">IFERROR(IF(H18="","",MAX($I$6:$I17)+1),"")</f>
        <v>11</v>
      </c>
    </row>
    <row r="19" customHeight="1" spans="1:9">
      <c r="A19" s="12">
        <v>13</v>
      </c>
      <c r="B19" s="7">
        <v>5</v>
      </c>
      <c r="C19" s="7">
        <v>21</v>
      </c>
      <c r="D19" s="17">
        <f ca="1">IFERROR(VLOOKUP(DATE($B$5,$B19,$C19),温度记录!$A:$C,2,1),"")</f>
        <v>16</v>
      </c>
      <c r="E19" s="17">
        <f ca="1">IFERROR(VLOOKUP(DATE($B$5,$B19,$C19),温度记录!$A:$C,3,1),"")</f>
        <v>25</v>
      </c>
      <c r="F19" s="18">
        <f ca="1" t="shared" si="2"/>
        <v>20.5</v>
      </c>
      <c r="G19" s="19" t="str">
        <f ca="1" t="shared" si="1"/>
        <v>√</v>
      </c>
      <c r="H19" s="20">
        <f ca="1">IFERROR(IF(F19&lt;5,"",SUM(F19+MAX($H$6:$H18))),"")</f>
        <v>193.5</v>
      </c>
      <c r="I19" s="12">
        <f ca="1">IFERROR(IF(H19="","",MAX($I$6:$I18)+1),"")</f>
        <v>12</v>
      </c>
    </row>
    <row r="20" customHeight="1" spans="1:9">
      <c r="A20" s="12">
        <v>14</v>
      </c>
      <c r="B20" s="7">
        <v>5</v>
      </c>
      <c r="C20" s="7">
        <v>22</v>
      </c>
      <c r="D20" s="17">
        <f ca="1">IFERROR(VLOOKUP(DATE($B$5,$B20,$C20),温度记录!$A:$C,2,1),"")</f>
        <v>17</v>
      </c>
      <c r="E20" s="17">
        <f ca="1">IFERROR(VLOOKUP(DATE($B$5,$B20,$C20),温度记录!$A:$C,3,1),"")</f>
        <v>24</v>
      </c>
      <c r="F20" s="18">
        <f ca="1" t="shared" si="2"/>
        <v>20.5</v>
      </c>
      <c r="G20" s="19" t="str">
        <f ca="1" t="shared" si="1"/>
        <v>√</v>
      </c>
      <c r="H20" s="20">
        <f ca="1">IFERROR(IF(F20&lt;5,"",SUM(F20+MAX($H$6:$H19))),"")</f>
        <v>214</v>
      </c>
      <c r="I20" s="12">
        <f ca="1">IFERROR(IF(H20="","",MAX($I$6:$I19)+1),"")</f>
        <v>13</v>
      </c>
    </row>
    <row r="21" customHeight="1" spans="1:9">
      <c r="A21" s="12">
        <v>15</v>
      </c>
      <c r="B21" s="7">
        <v>5</v>
      </c>
      <c r="C21" s="7">
        <v>23</v>
      </c>
      <c r="D21" s="17">
        <f ca="1">IFERROR(VLOOKUP(DATE($B$5,$B21,$C21),温度记录!$A:$C,2,1),"")</f>
        <v>13</v>
      </c>
      <c r="E21" s="17">
        <f ca="1">IFERROR(VLOOKUP(DATE($B$5,$B21,$C21),温度记录!$A:$C,3,1),"")</f>
        <v>22</v>
      </c>
      <c r="F21" s="18">
        <f ca="1" t="shared" si="2"/>
        <v>17.5</v>
      </c>
      <c r="G21" s="19" t="str">
        <f ca="1" t="shared" si="1"/>
        <v>√</v>
      </c>
      <c r="H21" s="20">
        <f ca="1">IFERROR(IF(F21&lt;5,"",SUM(F21+MAX($H$6:$H20))),"")</f>
        <v>231.5</v>
      </c>
      <c r="I21" s="12">
        <f ca="1">IFERROR(IF(H21="","",MAX($I$6:$I20)+1),"")</f>
        <v>14</v>
      </c>
    </row>
    <row r="22" customHeight="1" spans="1:9">
      <c r="A22" s="12">
        <v>16</v>
      </c>
      <c r="B22" s="7">
        <v>5</v>
      </c>
      <c r="C22" s="7">
        <v>24</v>
      </c>
      <c r="D22" s="17">
        <f ca="1">IFERROR(VLOOKUP(DATE($B$5,$B22,$C22),温度记录!$A:$C,2,1),"")</f>
        <v>15</v>
      </c>
      <c r="E22" s="17">
        <f ca="1">IFERROR(VLOOKUP(DATE($B$5,$B22,$C22),温度记录!$A:$C,3,1),"")</f>
        <v>21</v>
      </c>
      <c r="F22" s="18">
        <f ca="1" t="shared" si="2"/>
        <v>18</v>
      </c>
      <c r="G22" s="19" t="str">
        <f ca="1" t="shared" si="1"/>
        <v>√</v>
      </c>
      <c r="H22" s="20">
        <f ca="1">IFERROR(IF(F22&lt;5,"",SUM(F22+MAX($H$6:$H21))),"")</f>
        <v>249.5</v>
      </c>
      <c r="I22" s="12">
        <f ca="1">IFERROR(IF(H22="","",MAX($I$6:$I21)+1),"")</f>
        <v>15</v>
      </c>
    </row>
    <row r="23" customHeight="1" spans="1:9">
      <c r="A23" s="12">
        <v>17</v>
      </c>
      <c r="B23" s="7">
        <v>5</v>
      </c>
      <c r="C23" s="7">
        <v>25</v>
      </c>
      <c r="D23" s="17">
        <f ca="1">IFERROR(VLOOKUP(DATE($B$5,$B23,$C23),温度记录!$A:$C,2,1),"")</f>
        <v>11</v>
      </c>
      <c r="E23" s="17">
        <f ca="1">IFERROR(VLOOKUP(DATE($B$5,$B23,$C23),温度记录!$A:$C,3,1),"")</f>
        <v>24</v>
      </c>
      <c r="F23" s="18">
        <f ca="1" t="shared" si="2"/>
        <v>17.5</v>
      </c>
      <c r="G23" s="19" t="str">
        <f ca="1" t="shared" si="1"/>
        <v>√</v>
      </c>
      <c r="H23" s="20">
        <f ca="1">IFERROR(IF(F23&lt;5,"",SUM(F23+MAX($H$6:$H22))),"")</f>
        <v>267</v>
      </c>
      <c r="I23" s="12">
        <f ca="1">IFERROR(IF(H23="","",MAX($I$6:$I22)+1),"")</f>
        <v>16</v>
      </c>
    </row>
    <row r="24" customHeight="1" spans="1:9">
      <c r="A24" s="12">
        <v>18</v>
      </c>
      <c r="B24" s="7">
        <v>5</v>
      </c>
      <c r="C24" s="7">
        <v>26</v>
      </c>
      <c r="D24" s="17">
        <f ca="1">IFERROR(VLOOKUP(DATE($B$5,$B24,$C24),温度记录!$A:$C,2,1),"")</f>
        <v>15</v>
      </c>
      <c r="E24" s="17">
        <f ca="1">IFERROR(VLOOKUP(DATE($B$5,$B24,$C24),温度记录!$A:$C,3,1),"")</f>
        <v>18</v>
      </c>
      <c r="F24" s="18">
        <f ca="1" t="shared" si="2"/>
        <v>16.5</v>
      </c>
      <c r="G24" s="19" t="str">
        <f ca="1" t="shared" si="1"/>
        <v>√</v>
      </c>
      <c r="H24" s="20">
        <f ca="1">IFERROR(IF(F24&lt;5,"",SUM(F24+MAX($H$6:$H23))),"")</f>
        <v>283.5</v>
      </c>
      <c r="I24" s="12">
        <f ca="1">IFERROR(IF(H24="","",MAX($I$6:$I23)+1),"")</f>
        <v>17</v>
      </c>
    </row>
    <row r="25" customHeight="1" spans="1:9">
      <c r="A25" s="12">
        <v>19</v>
      </c>
      <c r="B25" s="7">
        <v>5</v>
      </c>
      <c r="C25" s="7">
        <v>27</v>
      </c>
      <c r="D25" s="17">
        <f ca="1">IFERROR(VLOOKUP(DATE($B$5,$B25,$C25),温度记录!$A:$C,2,1),"")</f>
        <v>15</v>
      </c>
      <c r="E25" s="17">
        <f ca="1">IFERROR(VLOOKUP(DATE($B$5,$B25,$C25),温度记录!$A:$C,3,1),"")</f>
        <v>22</v>
      </c>
      <c r="F25" s="18">
        <f ca="1" t="shared" si="2"/>
        <v>18.5</v>
      </c>
      <c r="G25" s="19" t="str">
        <f ca="1" t="shared" si="1"/>
        <v>√</v>
      </c>
      <c r="H25" s="20">
        <f ca="1">IFERROR(IF(F25&lt;5,"",SUM(F25+MAX($H$6:$H24))),"")</f>
        <v>302</v>
      </c>
      <c r="I25" s="12">
        <f ca="1">IFERROR(IF(H25="","",MAX($I$6:$I24)+1),"")</f>
        <v>18</v>
      </c>
    </row>
    <row r="26" customHeight="1" spans="1:9">
      <c r="A26" s="12">
        <v>20</v>
      </c>
      <c r="B26" s="7">
        <v>5</v>
      </c>
      <c r="C26" s="7">
        <v>28</v>
      </c>
      <c r="D26" s="17">
        <f ca="1">IFERROR(VLOOKUP(DATE($B$5,$B26,$C26),温度记录!$A:$C,2,1),"")</f>
        <v>22</v>
      </c>
      <c r="E26" s="17">
        <f ca="1">IFERROR(VLOOKUP(DATE($B$5,$B26,$C26),温度记录!$A:$C,3,1),"")</f>
        <v>27</v>
      </c>
      <c r="F26" s="18">
        <f ca="1" t="shared" si="2"/>
        <v>24.5</v>
      </c>
      <c r="G26" s="19" t="str">
        <f ca="1" t="shared" si="1"/>
        <v>√</v>
      </c>
      <c r="H26" s="20">
        <f ca="1">IFERROR(IF(F26&lt;5,"",SUM(F26+MAX($H$6:$H25))),"")</f>
        <v>326.5</v>
      </c>
      <c r="I26" s="12">
        <f ca="1">IFERROR(IF(H26="","",MAX($I$6:$I25)+1),"")</f>
        <v>19</v>
      </c>
    </row>
    <row r="27" customHeight="1" spans="1:9">
      <c r="A27" s="12">
        <v>21</v>
      </c>
      <c r="B27" s="7">
        <v>5</v>
      </c>
      <c r="C27" s="7">
        <v>29</v>
      </c>
      <c r="D27" s="17">
        <f ca="1">IFERROR(VLOOKUP(DATE($B$5,$B27,$C27),温度记录!$A:$C,2,1),"")</f>
        <v>17</v>
      </c>
      <c r="E27" s="17">
        <f ca="1">IFERROR(VLOOKUP(DATE($B$5,$B27,$C27),温度记录!$A:$C,3,1),"")</f>
        <v>26</v>
      </c>
      <c r="F27" s="18">
        <f ca="1" t="shared" si="2"/>
        <v>21.5</v>
      </c>
      <c r="G27" s="19" t="str">
        <f ca="1" t="shared" si="1"/>
        <v>√</v>
      </c>
      <c r="H27" s="20">
        <f ca="1">IFERROR(IF(F27&lt;5,"",SUM(F27+MAX($H$6:$H26))),"")</f>
        <v>348</v>
      </c>
      <c r="I27" s="12">
        <f ca="1">IFERROR(IF(H27="","",MAX($I$6:$I26)+1),"")</f>
        <v>20</v>
      </c>
    </row>
    <row r="28" customHeight="1" spans="1:9">
      <c r="A28" s="12">
        <v>22</v>
      </c>
      <c r="B28" s="7">
        <v>5</v>
      </c>
      <c r="C28" s="7">
        <v>30</v>
      </c>
      <c r="D28" s="17">
        <f ca="1">IFERROR(VLOOKUP(DATE($B$5,$B28,$C28),温度记录!$A:$C,2,1),"")</f>
        <v>13</v>
      </c>
      <c r="E28" s="17">
        <f ca="1">IFERROR(VLOOKUP(DATE($B$5,$B28,$C28),温度记录!$A:$C,3,1),"")</f>
        <v>17</v>
      </c>
      <c r="F28" s="18">
        <f ca="1" t="shared" si="2"/>
        <v>15</v>
      </c>
      <c r="G28" s="19" t="str">
        <f ca="1" t="shared" si="1"/>
        <v>√</v>
      </c>
      <c r="H28" s="20">
        <f ca="1">IFERROR(IF(F28&lt;5,"",SUM(F28+MAX($H$6:$H27))),"")</f>
        <v>363</v>
      </c>
      <c r="I28" s="12">
        <f ca="1">IFERROR(IF(H28="","",MAX($I$6:$I27)+1),"")</f>
        <v>21</v>
      </c>
    </row>
    <row r="29" customHeight="1" spans="1:9">
      <c r="A29" s="12">
        <v>23</v>
      </c>
      <c r="B29" s="7">
        <v>5</v>
      </c>
      <c r="C29" s="7">
        <v>31</v>
      </c>
      <c r="D29" s="17">
        <f ca="1">IFERROR(VLOOKUP(DATE($B$5,$B29,$C29),温度记录!$A:$C,2,1),"")</f>
        <v>18</v>
      </c>
      <c r="E29" s="17">
        <f ca="1">IFERROR(VLOOKUP(DATE($B$5,$B29,$C29),温度记录!$A:$C,3,1),"")</f>
        <v>22</v>
      </c>
      <c r="F29" s="18">
        <f ca="1" t="shared" si="2"/>
        <v>20</v>
      </c>
      <c r="G29" s="19" t="str">
        <f ca="1" t="shared" si="1"/>
        <v>√</v>
      </c>
      <c r="H29" s="20">
        <f ca="1">IFERROR(IF(F29&lt;5,"",SUM(F29+MAX($H$6:$H28))),"")</f>
        <v>383</v>
      </c>
      <c r="I29" s="12">
        <f ca="1">IFERROR(IF(H29="","",MAX($I$6:$I28)+1),"")</f>
        <v>22</v>
      </c>
    </row>
    <row r="30" customHeight="1" spans="1:9">
      <c r="A30" s="12">
        <v>24</v>
      </c>
      <c r="B30" s="7">
        <v>6</v>
      </c>
      <c r="C30" s="7">
        <v>1</v>
      </c>
      <c r="D30" s="17">
        <f ca="1">IFERROR(VLOOKUP(DATE($B$5,$B30,$C30),温度记录!$A:$C,2,1),"")</f>
        <v>17</v>
      </c>
      <c r="E30" s="17">
        <f ca="1">IFERROR(VLOOKUP(DATE($B$5,$B30,$C30),温度记录!$A:$C,3,1),"")</f>
        <v>23</v>
      </c>
      <c r="F30" s="18">
        <f ca="1" t="shared" si="2"/>
        <v>20</v>
      </c>
      <c r="G30" s="19" t="str">
        <f ca="1" t="shared" si="1"/>
        <v>√</v>
      </c>
      <c r="H30" s="20">
        <f ca="1">IFERROR(IF(F30&lt;5,"",SUM(F30+MAX($H$6:$H29))),"")</f>
        <v>403</v>
      </c>
      <c r="I30" s="12">
        <f ca="1">IFERROR(IF(H30="","",MAX($I$6:$I29)+1),"")</f>
        <v>23</v>
      </c>
    </row>
    <row r="31" customHeight="1" spans="1:9">
      <c r="A31" s="12">
        <v>25</v>
      </c>
      <c r="B31" s="7">
        <v>6</v>
      </c>
      <c r="C31" s="7">
        <v>2</v>
      </c>
      <c r="D31" s="17">
        <f ca="1">IFERROR(VLOOKUP(DATE($B$5,$B31,$C31),温度记录!$A:$C,2,1),"")</f>
        <v>19</v>
      </c>
      <c r="E31" s="17">
        <f ca="1">IFERROR(VLOOKUP(DATE($B$5,$B31,$C31),温度记录!$A:$C,3,1),"")</f>
        <v>24</v>
      </c>
      <c r="F31" s="18">
        <f ca="1" t="shared" si="2"/>
        <v>21.5</v>
      </c>
      <c r="G31" s="19" t="str">
        <f ca="1" t="shared" si="1"/>
        <v>√</v>
      </c>
      <c r="H31" s="20">
        <f ca="1">IFERROR(IF(F31&lt;5,"",SUM(F31+MAX($H$6:$H30))),"")</f>
        <v>424.5</v>
      </c>
      <c r="I31" s="12">
        <f ca="1">IFERROR(IF(H31="","",MAX($I$6:$I30)+1),"")</f>
        <v>24</v>
      </c>
    </row>
    <row r="32" customHeight="1" spans="1:9">
      <c r="A32" s="12">
        <v>26</v>
      </c>
      <c r="B32" s="7">
        <v>6</v>
      </c>
      <c r="C32" s="7">
        <v>3</v>
      </c>
      <c r="D32" s="17">
        <f ca="1">IFERROR(VLOOKUP(DATE($B$5,$B32,$C32),温度记录!$A:$C,2,1),"")</f>
        <v>23</v>
      </c>
      <c r="E32" s="17">
        <f ca="1">IFERROR(VLOOKUP(DATE($B$5,$B32,$C32),温度记录!$A:$C,3,1),"")</f>
        <v>33</v>
      </c>
      <c r="F32" s="18">
        <f ca="1" t="shared" si="2"/>
        <v>28</v>
      </c>
      <c r="G32" s="19" t="str">
        <f ca="1" t="shared" si="1"/>
        <v>√</v>
      </c>
      <c r="H32" s="20">
        <f ca="1">IFERROR(IF(F32&lt;5,"",SUM(F32+MAX($H$6:$H31))),"")</f>
        <v>452.5</v>
      </c>
      <c r="I32" s="12">
        <f ca="1">IFERROR(IF(H32="","",MAX($I$6:$I31)+1),"")</f>
        <v>25</v>
      </c>
    </row>
    <row r="33" customHeight="1" spans="1:9">
      <c r="A33" s="12">
        <v>27</v>
      </c>
      <c r="B33" s="7">
        <v>6</v>
      </c>
      <c r="C33" s="7">
        <v>4</v>
      </c>
      <c r="D33" s="17">
        <f ca="1">IFERROR(VLOOKUP(DATE($B$5,$B33,$C33),温度记录!$A:$C,2,1),"")</f>
        <v>21</v>
      </c>
      <c r="E33" s="17">
        <f ca="1">IFERROR(VLOOKUP(DATE($B$5,$B33,$C33),温度记录!$A:$C,3,1),"")</f>
        <v>35</v>
      </c>
      <c r="F33" s="18">
        <f ca="1" t="shared" si="2"/>
        <v>28</v>
      </c>
      <c r="G33" s="19" t="str">
        <f ca="1" t="shared" si="1"/>
        <v>√</v>
      </c>
      <c r="H33" s="20">
        <f ca="1">IFERROR(IF(F33&lt;5,"",SUM(F33+MAX($H$6:$H32))),"")</f>
        <v>480.5</v>
      </c>
      <c r="I33" s="12">
        <f ca="1">IFERROR(IF(H33="","",MAX($I$6:$I32)+1),"")</f>
        <v>26</v>
      </c>
    </row>
    <row r="34" customHeight="1" spans="1:9">
      <c r="A34" s="12">
        <v>28</v>
      </c>
      <c r="B34" s="7">
        <v>6</v>
      </c>
      <c r="C34" s="7">
        <v>5</v>
      </c>
      <c r="D34" s="17">
        <f ca="1">IFERROR(VLOOKUP(DATE($B$5,$B34,$C34),温度记录!$A:$C,2,1),"")</f>
        <v>17</v>
      </c>
      <c r="E34" s="17">
        <f ca="1">IFERROR(VLOOKUP(DATE($B$5,$B34,$C34),温度记录!$A:$C,3,1),"")</f>
        <v>24</v>
      </c>
      <c r="F34" s="18">
        <f ca="1" t="shared" si="2"/>
        <v>20.5</v>
      </c>
      <c r="G34" s="19" t="str">
        <f ca="1" t="shared" si="1"/>
        <v>√</v>
      </c>
      <c r="H34" s="20">
        <f ca="1">IFERROR(IF(F34&lt;5,"",SUM(F34+MAX($H$6:$H33))),"")</f>
        <v>501</v>
      </c>
      <c r="I34" s="12">
        <f ca="1">IFERROR(IF(H34="","",MAX($I$6:$I33)+1),"")</f>
        <v>27</v>
      </c>
    </row>
    <row r="35" customHeight="1" spans="1:9">
      <c r="A35" s="12">
        <v>29</v>
      </c>
      <c r="B35" s="7">
        <v>6</v>
      </c>
      <c r="C35" s="7">
        <v>6</v>
      </c>
      <c r="D35" s="17">
        <f ca="1">IFERROR(VLOOKUP(DATE($B$5,$B35,$C35),温度记录!$A:$C,2,1),"")</f>
        <v>21</v>
      </c>
      <c r="E35" s="17">
        <f ca="1">IFERROR(VLOOKUP(DATE($B$5,$B35,$C35),温度记录!$A:$C,3,1),"")</f>
        <v>27</v>
      </c>
      <c r="F35" s="18">
        <f ca="1" t="shared" si="2"/>
        <v>24</v>
      </c>
      <c r="G35" s="19" t="str">
        <f ca="1" t="shared" si="1"/>
        <v>√</v>
      </c>
      <c r="H35" s="20">
        <f ca="1">IFERROR(IF(F35&lt;5,"",SUM(F35+MAX($H$6:$H34))),"")</f>
        <v>525</v>
      </c>
      <c r="I35" s="12">
        <f ca="1">IFERROR(IF(H35="","",MAX($I$6:$I34)+1),"")</f>
        <v>28</v>
      </c>
    </row>
    <row r="36" customHeight="1" spans="1:9">
      <c r="A36" s="12">
        <v>30</v>
      </c>
      <c r="B36" s="7">
        <v>6</v>
      </c>
      <c r="C36" s="7">
        <v>7</v>
      </c>
      <c r="D36" s="17">
        <f ca="1">IFERROR(VLOOKUP(DATE($B$5,$B36,$C36),温度记录!$A:$C,2,1),"")</f>
        <v>24</v>
      </c>
      <c r="E36" s="17">
        <f ca="1">IFERROR(VLOOKUP(DATE($B$5,$B36,$C36),温度记录!$A:$C,3,1),"")</f>
        <v>35</v>
      </c>
      <c r="F36" s="18">
        <f ca="1" t="shared" si="2"/>
        <v>29.5</v>
      </c>
      <c r="G36" s="19" t="str">
        <f ca="1" t="shared" si="1"/>
        <v>√</v>
      </c>
      <c r="H36" s="20">
        <f ca="1">IFERROR(IF(F36&lt;5,"",SUM(F36+MAX($H$6:$H35))),"")</f>
        <v>554.5</v>
      </c>
      <c r="I36" s="12">
        <f ca="1">IFERROR(IF(H36="","",MAX($I$6:$I35)+1),"")</f>
        <v>29</v>
      </c>
    </row>
    <row r="37" customHeight="1" spans="1:9">
      <c r="A37" s="12">
        <v>31</v>
      </c>
      <c r="B37" s="7">
        <v>6</v>
      </c>
      <c r="C37" s="7">
        <v>8</v>
      </c>
      <c r="D37" s="17">
        <f ca="1">IFERROR(VLOOKUP(DATE($B$5,$B37,$C37),温度记录!$A:$C,2,1),"")</f>
        <v>22</v>
      </c>
      <c r="E37" s="17">
        <f ca="1">IFERROR(VLOOKUP(DATE($B$5,$B37,$C37),温度记录!$A:$C,3,1),"")</f>
        <v>36</v>
      </c>
      <c r="F37" s="18">
        <f ca="1" t="shared" si="2"/>
        <v>29</v>
      </c>
      <c r="G37" s="19" t="str">
        <f ca="1" t="shared" si="1"/>
        <v>√</v>
      </c>
      <c r="H37" s="20">
        <f ca="1">IFERROR(IF(F37&lt;5,"",SUM(F37+MAX($H$6:$H36))),"")</f>
        <v>583.5</v>
      </c>
      <c r="I37" s="12">
        <f ca="1">IFERROR(IF(H37="","",MAX($I$6:$I36)+1),"")</f>
        <v>30</v>
      </c>
    </row>
    <row r="38" customHeight="1" spans="1:9">
      <c r="A38" s="22">
        <v>32</v>
      </c>
      <c r="B38" s="40">
        <v>6</v>
      </c>
      <c r="C38" s="40">
        <v>9</v>
      </c>
      <c r="D38" s="23">
        <f ca="1">IFERROR(VLOOKUP(DATE($B$5,$B38,$C38),温度记录!$A:$C,2,1),"")</f>
        <v>19</v>
      </c>
      <c r="E38" s="23">
        <f ca="1">IFERROR(VLOOKUP(DATE($B$5,$B38,$C38),温度记录!$A:$C,3,1),"")</f>
        <v>21</v>
      </c>
      <c r="F38" s="18">
        <f ca="1" t="shared" si="2"/>
        <v>20</v>
      </c>
      <c r="G38" s="19" t="str">
        <f ca="1" t="shared" si="1"/>
        <v>√</v>
      </c>
      <c r="H38" s="20">
        <f ca="1">IFERROR(IF(F38&lt;5,"",SUM(F38+MAX($H$6:$H37))),"")</f>
        <v>603.5</v>
      </c>
      <c r="I38" s="12">
        <f ca="1">IFERROR(IF(H38="","",MAX($I$6:$I37)+1),"")</f>
        <v>31</v>
      </c>
    </row>
    <row r="39" customHeight="1" spans="1:9">
      <c r="A39" s="24" t="s">
        <v>177</v>
      </c>
      <c r="B39" s="25"/>
      <c r="C39" s="25"/>
      <c r="D39" s="25"/>
      <c r="E39" s="25"/>
      <c r="F39" s="25"/>
      <c r="G39" s="26">
        <f>COUNT(C7:C38)</f>
        <v>32</v>
      </c>
      <c r="H39" s="27" t="s">
        <v>178</v>
      </c>
      <c r="I39" s="37"/>
    </row>
    <row r="40" customHeight="1" spans="1:9">
      <c r="A40" s="28" t="s">
        <v>179</v>
      </c>
      <c r="B40" s="29">
        <f ca="1">COUNTIF(H7:H38,"&gt;0")</f>
        <v>31</v>
      </c>
      <c r="C40" s="30" t="s">
        <v>180</v>
      </c>
      <c r="D40" s="30"/>
      <c r="E40" s="30"/>
      <c r="F40" s="30"/>
      <c r="G40" s="30"/>
      <c r="H40" s="30"/>
      <c r="I40" s="38"/>
    </row>
    <row r="41" customHeight="1" spans="1:9">
      <c r="A41" s="31" t="s">
        <v>181</v>
      </c>
      <c r="B41" s="32"/>
      <c r="C41" s="32"/>
      <c r="D41" s="32"/>
      <c r="E41" s="32"/>
      <c r="F41" s="32"/>
      <c r="G41" s="32"/>
      <c r="H41" s="32"/>
      <c r="I41" s="39"/>
    </row>
    <row r="42" ht="25" customHeight="1" spans="1:9">
      <c r="A42" s="33" t="s">
        <v>182</v>
      </c>
      <c r="B42" s="33"/>
      <c r="C42" s="33"/>
      <c r="D42" s="33"/>
      <c r="E42" s="33"/>
      <c r="F42" s="33" t="s">
        <v>183</v>
      </c>
      <c r="G42" s="33"/>
      <c r="H42" s="34"/>
      <c r="I42" s="33"/>
    </row>
  </sheetData>
  <mergeCells count="20">
    <mergeCell ref="G3:I3"/>
    <mergeCell ref="F4:G4"/>
    <mergeCell ref="H4:I4"/>
    <mergeCell ref="B5:C5"/>
    <mergeCell ref="D5:E5"/>
    <mergeCell ref="A39:F39"/>
    <mergeCell ref="C40:I40"/>
    <mergeCell ref="A41:I41"/>
    <mergeCell ref="A42:C42"/>
    <mergeCell ref="D42:E42"/>
    <mergeCell ref="F42:G42"/>
    <mergeCell ref="H42:I42"/>
    <mergeCell ref="A5:A6"/>
    <mergeCell ref="F5:F6"/>
    <mergeCell ref="G5:G6"/>
    <mergeCell ref="H5:H6"/>
    <mergeCell ref="I5:I6"/>
    <mergeCell ref="A1:I2"/>
    <mergeCell ref="A3:B4"/>
    <mergeCell ref="C3:E4"/>
  </mergeCells>
  <dataValidations count="5">
    <dataValidation allowBlank="1" showInputMessage="1" showErrorMessage="1" prompt="输入年份，格式如&quot;2020&quot;即可" sqref="B5:C5"/>
    <dataValidation allowBlank="1" showInputMessage="1" showErrorMessage="1" prompt="本列输入月份" sqref="B6"/>
    <dataValidation allowBlank="1" showInputMessage="1" showErrorMessage="1" prompt="本列输入&quot;天&quot;" sqref="C6"/>
    <dataValidation allowBlank="1" showInputMessage="1" showErrorMessage="1" prompt="平均大气温度大于5°判定有效" sqref="G5:G6"/>
    <dataValidation allowBlank="1" showInputMessage="1" showErrorMessage="1" prompt="平均大气温度大于5°累计温度，小于5度不累计" sqref="H5:H6"/>
  </dataValidations>
  <hyperlinks>
    <hyperlink ref="K1" location="目录!A1" display="返回目录"/>
  </hyperlinks>
  <pageMargins left="0.75" right="0.75" top="1" bottom="1" header="0.509722222222222" footer="0.509722222222222"/>
  <pageSetup paperSize="9" scale="97" orientation="portrait" horizontalDpi="600" verticalDpi="600"/>
  <headerFooter/>
  <rowBreaks count="1" manualBreakCount="1">
    <brk id="42" max="8" man="1"/>
  </rowBreaks>
  <colBreaks count="1" manualBreakCount="1">
    <brk id="9" max="1981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2"/>
  <sheetViews>
    <sheetView view="pageBreakPreview" zoomScaleNormal="100" zoomScaleSheetLayoutView="100" topLeftCell="A19" workbookViewId="0">
      <selection activeCell="K1" sqref="K1"/>
    </sheetView>
  </sheetViews>
  <sheetFormatPr defaultColWidth="9" defaultRowHeight="18" customHeight="1"/>
  <cols>
    <col min="1" max="1" width="4.3" style="1" customWidth="1"/>
    <col min="2" max="3" width="7.7" style="1" customWidth="1"/>
    <col min="4" max="4" width="9.41666666666667" style="2"/>
    <col min="5" max="5" width="9.41666666666667" style="1"/>
    <col min="6" max="6" width="10.25" style="1" customWidth="1"/>
    <col min="7" max="7" width="10" style="1" customWidth="1"/>
    <col min="8" max="8" width="9" style="3"/>
    <col min="9" max="20" width="9" style="1"/>
    <col min="21" max="21" width="9" style="1" customWidth="1"/>
    <col min="22" max="16384" width="9" style="1"/>
  </cols>
  <sheetData>
    <row r="1" customHeight="1" spans="1:11">
      <c r="A1" s="4" t="s">
        <v>164</v>
      </c>
      <c r="B1" s="4"/>
      <c r="C1" s="4"/>
      <c r="D1" s="4"/>
      <c r="E1" s="4"/>
      <c r="F1" s="4"/>
      <c r="G1" s="4"/>
      <c r="H1" s="5"/>
      <c r="I1" s="4"/>
      <c r="K1" s="35" t="s">
        <v>11</v>
      </c>
    </row>
    <row r="2" customHeight="1" spans="1:9">
      <c r="A2" s="4"/>
      <c r="B2" s="4"/>
      <c r="C2" s="4"/>
      <c r="D2" s="4"/>
      <c r="E2" s="4"/>
      <c r="F2" s="4"/>
      <c r="G2" s="4"/>
      <c r="H2" s="5"/>
      <c r="I2" s="4"/>
    </row>
    <row r="3" customHeight="1" spans="1:9">
      <c r="A3" s="6" t="s">
        <v>12</v>
      </c>
      <c r="B3" s="6"/>
      <c r="C3" s="7" t="str">
        <f>温度记录!N1</f>
        <v>XX工程</v>
      </c>
      <c r="D3" s="7"/>
      <c r="E3" s="7"/>
      <c r="F3" s="8" t="s">
        <v>165</v>
      </c>
      <c r="G3" s="7" t="str">
        <f ca="1">RIGHTB(CELL("filename",A1),LENB(CELL("filename",A1))-FINDB("]",CELL("filename",A1)))</f>
        <v>部位1</v>
      </c>
      <c r="H3" s="9"/>
      <c r="I3" s="7"/>
    </row>
    <row r="4" customHeight="1" spans="1:9">
      <c r="A4" s="6"/>
      <c r="B4" s="6"/>
      <c r="C4" s="7"/>
      <c r="D4" s="7"/>
      <c r="E4" s="7"/>
      <c r="F4" s="10" t="s">
        <v>166</v>
      </c>
      <c r="G4" s="10"/>
      <c r="H4" s="11" t="s">
        <v>167</v>
      </c>
      <c r="I4" s="36"/>
    </row>
    <row r="5" customHeight="1" spans="1:9">
      <c r="A5" s="12" t="s">
        <v>0</v>
      </c>
      <c r="B5" s="13">
        <v>2020</v>
      </c>
      <c r="C5" s="13"/>
      <c r="D5" s="12" t="s">
        <v>168</v>
      </c>
      <c r="E5" s="12"/>
      <c r="F5" s="14" t="s">
        <v>169</v>
      </c>
      <c r="G5" s="14" t="s">
        <v>170</v>
      </c>
      <c r="H5" s="15" t="s">
        <v>171</v>
      </c>
      <c r="I5" s="14" t="s">
        <v>172</v>
      </c>
    </row>
    <row r="6" customHeight="1" spans="1:9">
      <c r="A6" s="12"/>
      <c r="B6" s="12" t="s">
        <v>173</v>
      </c>
      <c r="C6" s="12" t="s">
        <v>174</v>
      </c>
      <c r="D6" s="16" t="s">
        <v>175</v>
      </c>
      <c r="E6" s="14" t="s">
        <v>176</v>
      </c>
      <c r="F6" s="14"/>
      <c r="G6" s="14"/>
      <c r="H6" s="15"/>
      <c r="I6" s="14"/>
    </row>
    <row r="7" customHeight="1" spans="1:9">
      <c r="A7" s="12">
        <v>1</v>
      </c>
      <c r="B7" s="7">
        <v>10</v>
      </c>
      <c r="C7" s="7">
        <v>11</v>
      </c>
      <c r="D7" s="17">
        <f>IFERROR(VLOOKUP(DATE($B$5,$B7,$C7),温度记录!$A:$C,2,1),"")</f>
        <v>10</v>
      </c>
      <c r="E7" s="17">
        <f>IFERROR(VLOOKUP(DATE($B$5,$B7,$C7),温度记录!$A:$C,3,1),"")</f>
        <v>17</v>
      </c>
      <c r="F7" s="18">
        <f t="shared" ref="F7:F38" si="0">IFERROR(AVERAGE(D7,E7),"")</f>
        <v>13.5</v>
      </c>
      <c r="G7" s="19" t="str">
        <f>IFERROR(IF(F7&gt;=5,"√","×"),"")</f>
        <v>√</v>
      </c>
      <c r="H7" s="20">
        <f>IFERROR(IF(F7&lt;5,"",SUM(F7+MAX($H$6:$H6))),"")</f>
        <v>13.5</v>
      </c>
      <c r="I7" s="12">
        <f>IFERROR(IF(H7="","",MAX($I$6:$I6)+1),"")</f>
        <v>1</v>
      </c>
    </row>
    <row r="8" customHeight="1" spans="1:9">
      <c r="A8" s="12">
        <v>2</v>
      </c>
      <c r="B8" s="7">
        <v>10</v>
      </c>
      <c r="C8" s="7">
        <v>12</v>
      </c>
      <c r="D8" s="17">
        <f>IFERROR(VLOOKUP(DATE($B$5,$B8,$C8),温度记录!$A:$C,2,1),"")</f>
        <v>7</v>
      </c>
      <c r="E8" s="17">
        <f>IFERROR(VLOOKUP(DATE($B$5,$B8,$C8),温度记录!$A:$C,3,1),"")</f>
        <v>13</v>
      </c>
      <c r="F8" s="18">
        <f t="shared" si="0"/>
        <v>10</v>
      </c>
      <c r="G8" s="19" t="str">
        <f t="shared" ref="G8:G38" si="1">IFERROR(IF(F8&gt;=5,"√","×"),"")</f>
        <v>√</v>
      </c>
      <c r="H8" s="20">
        <f>IFERROR(IF(F8&lt;5,"",SUM(F8+MAX($H$6:$H7))),"")</f>
        <v>23.5</v>
      </c>
      <c r="I8" s="12">
        <f>IFERROR(IF(H8="","",MAX($I$6:$I7)+1),"")</f>
        <v>2</v>
      </c>
    </row>
    <row r="9" customHeight="1" spans="1:9">
      <c r="A9" s="12">
        <v>3</v>
      </c>
      <c r="B9" s="7">
        <v>10</v>
      </c>
      <c r="C9" s="7">
        <v>13</v>
      </c>
      <c r="D9" s="17">
        <f>IFERROR(VLOOKUP(DATE($B$5,$B9,$C9),温度记录!$A:$C,2,1),"")</f>
        <v>8</v>
      </c>
      <c r="E9" s="17">
        <f>IFERROR(VLOOKUP(DATE($B$5,$B9,$C9),温度记录!$A:$C,3,1),"")</f>
        <v>15</v>
      </c>
      <c r="F9" s="18">
        <f t="shared" si="0"/>
        <v>11.5</v>
      </c>
      <c r="G9" s="19" t="str">
        <f t="shared" si="1"/>
        <v>√</v>
      </c>
      <c r="H9" s="20">
        <f>IFERROR(IF(F9&lt;5,"",SUM(F9+MAX($H$6:$H8))),"")</f>
        <v>35</v>
      </c>
      <c r="I9" s="12">
        <f>IFERROR(IF(H9="","",MAX($I$6:$I8)+1),"")</f>
        <v>3</v>
      </c>
    </row>
    <row r="10" customHeight="1" spans="1:9">
      <c r="A10" s="12">
        <v>4</v>
      </c>
      <c r="B10" s="7">
        <v>10</v>
      </c>
      <c r="C10" s="7">
        <v>14</v>
      </c>
      <c r="D10" s="17">
        <f>IFERROR(VLOOKUP(DATE($B$5,$B10,$C10),温度记录!$A:$C,2,1),"")</f>
        <v>6</v>
      </c>
      <c r="E10" s="17">
        <f>IFERROR(VLOOKUP(DATE($B$5,$B10,$C10),温度记录!$A:$C,3,1),"")</f>
        <v>8</v>
      </c>
      <c r="F10" s="18">
        <f t="shared" si="0"/>
        <v>7</v>
      </c>
      <c r="G10" s="19" t="str">
        <f t="shared" si="1"/>
        <v>√</v>
      </c>
      <c r="H10" s="20">
        <f>IFERROR(IF(F10&lt;5,"",SUM(F10+MAX($H$6:$H9))),"")</f>
        <v>42</v>
      </c>
      <c r="I10" s="12">
        <f>IFERROR(IF(H10="","",MAX($I$6:$I9)+1),"")</f>
        <v>4</v>
      </c>
    </row>
    <row r="11" customHeight="1" spans="1:9">
      <c r="A11" s="12">
        <v>5</v>
      </c>
      <c r="B11" s="7">
        <v>10</v>
      </c>
      <c r="C11" s="7">
        <v>15</v>
      </c>
      <c r="D11" s="17">
        <f>IFERROR(VLOOKUP(DATE($B$5,$B11,$C11),温度记录!$A:$C,2,1),"")</f>
        <v>8</v>
      </c>
      <c r="E11" s="17">
        <f>IFERROR(VLOOKUP(DATE($B$5,$B11,$C11),温度记录!$A:$C,3,1),"")</f>
        <v>12</v>
      </c>
      <c r="F11" s="18">
        <f t="shared" si="0"/>
        <v>10</v>
      </c>
      <c r="G11" s="19" t="str">
        <f t="shared" si="1"/>
        <v>√</v>
      </c>
      <c r="H11" s="20">
        <f>IFERROR(IF(F11&lt;5,"",SUM(F11+MAX($H$6:$H10))),"")</f>
        <v>52</v>
      </c>
      <c r="I11" s="12">
        <f>IFERROR(IF(H11="","",MAX($I$6:$I10)+1),"")</f>
        <v>5</v>
      </c>
    </row>
    <row r="12" customHeight="1" spans="1:9">
      <c r="A12" s="12">
        <v>6</v>
      </c>
      <c r="B12" s="7">
        <v>10</v>
      </c>
      <c r="C12" s="7">
        <v>16</v>
      </c>
      <c r="D12" s="17">
        <f>IFERROR(VLOOKUP(DATE($B$5,$B12,$C12),温度记录!$A:$C,2,1),"")</f>
        <v>2</v>
      </c>
      <c r="E12" s="17">
        <f>IFERROR(VLOOKUP(DATE($B$5,$B12,$C12),温度记录!$A:$C,3,1),"")</f>
        <v>11</v>
      </c>
      <c r="F12" s="18">
        <f t="shared" si="0"/>
        <v>6.5</v>
      </c>
      <c r="G12" s="19" t="str">
        <f t="shared" si="1"/>
        <v>√</v>
      </c>
      <c r="H12" s="20">
        <f>IFERROR(IF(F12&lt;5,"",SUM(F12+MAX($H$6:$H11))),"")</f>
        <v>58.5</v>
      </c>
      <c r="I12" s="12">
        <f>IFERROR(IF(H12="","",MAX($I$6:$I11)+1),"")</f>
        <v>6</v>
      </c>
    </row>
    <row r="13" customHeight="1" spans="1:9">
      <c r="A13" s="12">
        <v>7</v>
      </c>
      <c r="B13" s="7">
        <v>10</v>
      </c>
      <c r="C13" s="7">
        <v>17</v>
      </c>
      <c r="D13" s="17">
        <f>IFERROR(VLOOKUP(DATE($B$5,$B13,$C13),温度记录!$A:$C,2,1),"")</f>
        <v>8</v>
      </c>
      <c r="E13" s="17">
        <f>IFERROR(VLOOKUP(DATE($B$5,$B13,$C13),温度记录!$A:$C,3,1),"")</f>
        <v>16</v>
      </c>
      <c r="F13" s="18">
        <f t="shared" si="0"/>
        <v>12</v>
      </c>
      <c r="G13" s="19" t="str">
        <f t="shared" si="1"/>
        <v>√</v>
      </c>
      <c r="H13" s="20">
        <f>IFERROR(IF(F13&lt;5,"",SUM(F13+MAX($H$6:$H12))),"")</f>
        <v>70.5</v>
      </c>
      <c r="I13" s="12">
        <f>IFERROR(IF(H13="","",MAX($I$6:$I12)+1),"")</f>
        <v>7</v>
      </c>
    </row>
    <row r="14" customHeight="1" spans="1:9">
      <c r="A14" s="12">
        <v>8</v>
      </c>
      <c r="B14" s="7">
        <v>10</v>
      </c>
      <c r="C14" s="7">
        <v>18</v>
      </c>
      <c r="D14" s="17">
        <f>IFERROR(VLOOKUP(DATE($B$5,$B14,$C14),温度记录!$A:$C,2,1),"")</f>
        <v>7</v>
      </c>
      <c r="E14" s="17">
        <f>IFERROR(VLOOKUP(DATE($B$5,$B14,$C14),温度记录!$A:$C,3,1),"")</f>
        <v>15</v>
      </c>
      <c r="F14" s="18">
        <f t="shared" si="0"/>
        <v>11</v>
      </c>
      <c r="G14" s="19" t="str">
        <f t="shared" si="1"/>
        <v>√</v>
      </c>
      <c r="H14" s="20">
        <f>IFERROR(IF(F14&lt;5,"",SUM(F14+MAX($H$6:$H13))),"")</f>
        <v>81.5</v>
      </c>
      <c r="I14" s="12">
        <f>IFERROR(IF(H14="","",MAX($I$6:$I13)+1),"")</f>
        <v>8</v>
      </c>
    </row>
    <row r="15" customHeight="1" spans="1:9">
      <c r="A15" s="12">
        <v>9</v>
      </c>
      <c r="B15" s="7">
        <v>10</v>
      </c>
      <c r="C15" s="7">
        <v>19</v>
      </c>
      <c r="D15" s="17">
        <f>IFERROR(VLOOKUP(DATE($B$5,$B15,$C15),温度记录!$A:$C,2,1),"")</f>
        <v>8</v>
      </c>
      <c r="E15" s="17">
        <f>IFERROR(VLOOKUP(DATE($B$5,$B15,$C15),温度记录!$A:$C,3,1),"")</f>
        <v>17</v>
      </c>
      <c r="F15" s="18">
        <f t="shared" si="0"/>
        <v>12.5</v>
      </c>
      <c r="G15" s="19" t="str">
        <f t="shared" si="1"/>
        <v>√</v>
      </c>
      <c r="H15" s="20">
        <f>IFERROR(IF(F15&lt;5,"",SUM(F15+MAX($H$6:$H14))),"")</f>
        <v>94</v>
      </c>
      <c r="I15" s="12">
        <f>IFERROR(IF(H15="","",MAX($I$6:$I14)+1),"")</f>
        <v>9</v>
      </c>
    </row>
    <row r="16" customHeight="1" spans="1:9">
      <c r="A16" s="12">
        <v>10</v>
      </c>
      <c r="B16" s="7">
        <v>10</v>
      </c>
      <c r="C16" s="7">
        <v>20</v>
      </c>
      <c r="D16" s="17">
        <f>IFERROR(VLOOKUP(DATE($B$5,$B16,$C16),温度记录!$A:$C,2,1),"")</f>
        <v>7</v>
      </c>
      <c r="E16" s="17">
        <f>IFERROR(VLOOKUP(DATE($B$5,$B16,$C16),温度记录!$A:$C,3,1),"")</f>
        <v>14</v>
      </c>
      <c r="F16" s="18">
        <f t="shared" si="0"/>
        <v>10.5</v>
      </c>
      <c r="G16" s="19" t="str">
        <f t="shared" si="1"/>
        <v>√</v>
      </c>
      <c r="H16" s="20">
        <f>IFERROR(IF(F16&lt;5,"",SUM(F16+MAX($H$6:$H15))),"")</f>
        <v>104.5</v>
      </c>
      <c r="I16" s="12">
        <f>IFERROR(IF(H16="","",MAX($I$6:$I15)+1),"")</f>
        <v>10</v>
      </c>
    </row>
    <row r="17" customHeight="1" spans="1:9">
      <c r="A17" s="12">
        <v>11</v>
      </c>
      <c r="B17" s="7">
        <v>10</v>
      </c>
      <c r="C17" s="7">
        <v>21</v>
      </c>
      <c r="D17" s="17">
        <f>IFERROR(VLOOKUP(DATE($B$5,$B17,$C17),温度记录!$A:$C,2,1),"")</f>
        <v>1</v>
      </c>
      <c r="E17" s="17">
        <f>IFERROR(VLOOKUP(DATE($B$5,$B17,$C17),温度记录!$A:$C,3,1),"")</f>
        <v>12</v>
      </c>
      <c r="F17" s="18">
        <f t="shared" si="0"/>
        <v>6.5</v>
      </c>
      <c r="G17" s="19" t="str">
        <f t="shared" si="1"/>
        <v>√</v>
      </c>
      <c r="H17" s="20">
        <f>IFERROR(IF(F17&lt;5,"",SUM(F17+MAX($H$6:$H16))),"")</f>
        <v>111</v>
      </c>
      <c r="I17" s="12">
        <f>IFERROR(IF(H17="","",MAX($I$6:$I16)+1),"")</f>
        <v>11</v>
      </c>
    </row>
    <row r="18" customHeight="1" spans="1:9">
      <c r="A18" s="12">
        <v>12</v>
      </c>
      <c r="B18" s="7">
        <v>10</v>
      </c>
      <c r="C18" s="7">
        <v>22</v>
      </c>
      <c r="D18" s="17">
        <f>IFERROR(VLOOKUP(DATE($B$5,$B18,$C18),温度记录!$A:$C,2,1),"")</f>
        <v>2</v>
      </c>
      <c r="E18" s="17">
        <f>IFERROR(VLOOKUP(DATE($B$5,$B18,$C18),温度记录!$A:$C,3,1),"")</f>
        <v>12</v>
      </c>
      <c r="F18" s="18">
        <f t="shared" si="0"/>
        <v>7</v>
      </c>
      <c r="G18" s="19" t="str">
        <f t="shared" si="1"/>
        <v>√</v>
      </c>
      <c r="H18" s="20">
        <f>IFERROR(IF(F18&lt;5,"",SUM(F18+MAX($H$6:$H17))),"")</f>
        <v>118</v>
      </c>
      <c r="I18" s="12">
        <f>IFERROR(IF(H18="","",MAX($I$6:$I17)+1),"")</f>
        <v>12</v>
      </c>
    </row>
    <row r="19" customHeight="1" spans="1:9">
      <c r="A19" s="12">
        <v>13</v>
      </c>
      <c r="B19" s="7">
        <v>10</v>
      </c>
      <c r="C19" s="7">
        <v>23</v>
      </c>
      <c r="D19" s="17">
        <f>IFERROR(VLOOKUP(DATE($B$5,$B19,$C19),温度记录!$A:$C,2,1),"")</f>
        <v>2</v>
      </c>
      <c r="E19" s="17">
        <f>IFERROR(VLOOKUP(DATE($B$5,$B19,$C19),温度记录!$A:$C,3,1),"")</f>
        <v>9</v>
      </c>
      <c r="F19" s="18">
        <f t="shared" si="0"/>
        <v>5.5</v>
      </c>
      <c r="G19" s="19" t="str">
        <f t="shared" si="1"/>
        <v>√</v>
      </c>
      <c r="H19" s="20">
        <f>IFERROR(IF(F19&lt;5,"",SUM(F19+MAX($H$6:$H18))),"")</f>
        <v>123.5</v>
      </c>
      <c r="I19" s="12">
        <f>IFERROR(IF(H19="","",MAX($I$6:$I18)+1),"")</f>
        <v>13</v>
      </c>
    </row>
    <row r="20" customHeight="1" spans="1:9">
      <c r="A20" s="12">
        <v>14</v>
      </c>
      <c r="B20" s="7">
        <v>10</v>
      </c>
      <c r="C20" s="7">
        <v>24</v>
      </c>
      <c r="D20" s="17">
        <f>IFERROR(VLOOKUP(DATE($B$5,$B20,$C20),温度记录!$A:$C,2,1),"")</f>
        <v>8</v>
      </c>
      <c r="E20" s="17">
        <f>IFERROR(VLOOKUP(DATE($B$5,$B20,$C20),温度记录!$A:$C,3,1),"")</f>
        <v>14</v>
      </c>
      <c r="F20" s="18">
        <f t="shared" si="0"/>
        <v>11</v>
      </c>
      <c r="G20" s="19" t="str">
        <f t="shared" si="1"/>
        <v>√</v>
      </c>
      <c r="H20" s="20">
        <f>IFERROR(IF(F20&lt;5,"",SUM(F20+MAX($H$6:$H19))),"")</f>
        <v>134.5</v>
      </c>
      <c r="I20" s="12">
        <f>IFERROR(IF(H20="","",MAX($I$6:$I19)+1),"")</f>
        <v>14</v>
      </c>
    </row>
    <row r="21" customHeight="1" spans="1:9">
      <c r="A21" s="12">
        <v>15</v>
      </c>
      <c r="B21" s="7">
        <v>10</v>
      </c>
      <c r="C21" s="7">
        <v>25</v>
      </c>
      <c r="D21" s="17">
        <f>IFERROR(VLOOKUP(DATE($B$5,$B21,$C21),温度记录!$A:$C,2,1),"")</f>
        <v>9</v>
      </c>
      <c r="E21" s="17">
        <f>IFERROR(VLOOKUP(DATE($B$5,$B21,$C21),温度记录!$A:$C,3,1),"")</f>
        <v>16</v>
      </c>
      <c r="F21" s="18">
        <f t="shared" si="0"/>
        <v>12.5</v>
      </c>
      <c r="G21" s="19" t="str">
        <f t="shared" si="1"/>
        <v>√</v>
      </c>
      <c r="H21" s="20">
        <f>IFERROR(IF(F21&lt;5,"",SUM(F21+MAX($H$6:$H20))),"")</f>
        <v>147</v>
      </c>
      <c r="I21" s="12">
        <f>IFERROR(IF(H21="","",MAX($I$6:$I20)+1),"")</f>
        <v>15</v>
      </c>
    </row>
    <row r="22" customHeight="1" spans="1:9">
      <c r="A22" s="12">
        <v>16</v>
      </c>
      <c r="B22" s="7">
        <v>10</v>
      </c>
      <c r="C22" s="7">
        <v>26</v>
      </c>
      <c r="D22" s="17">
        <f>IFERROR(VLOOKUP(DATE($B$5,$B22,$C22),温度记录!$A:$C,2,1),"")</f>
        <v>8</v>
      </c>
      <c r="E22" s="17">
        <f>IFERROR(VLOOKUP(DATE($B$5,$B22,$C22),温度记录!$A:$C,3,1),"")</f>
        <v>18</v>
      </c>
      <c r="F22" s="18">
        <f t="shared" si="0"/>
        <v>13</v>
      </c>
      <c r="G22" s="19" t="str">
        <f t="shared" si="1"/>
        <v>√</v>
      </c>
      <c r="H22" s="20">
        <f>IFERROR(IF(F22&lt;5,"",SUM(F22+MAX($H$6:$H21))),"")</f>
        <v>160</v>
      </c>
      <c r="I22" s="12">
        <f>IFERROR(IF(H22="","",MAX($I$6:$I21)+1),"")</f>
        <v>16</v>
      </c>
    </row>
    <row r="23" customHeight="1" spans="1:9">
      <c r="A23" s="12">
        <v>17</v>
      </c>
      <c r="B23" s="7">
        <v>10</v>
      </c>
      <c r="C23" s="7">
        <v>27</v>
      </c>
      <c r="D23" s="17">
        <f>IFERROR(VLOOKUP(DATE($B$5,$B23,$C23),温度记录!$A:$C,2,1),"")</f>
        <v>7</v>
      </c>
      <c r="E23" s="17">
        <f>IFERROR(VLOOKUP(DATE($B$5,$B23,$C23),温度记录!$A:$C,3,1),"")</f>
        <v>11</v>
      </c>
      <c r="F23" s="18">
        <f t="shared" si="0"/>
        <v>9</v>
      </c>
      <c r="G23" s="19" t="str">
        <f t="shared" si="1"/>
        <v>√</v>
      </c>
      <c r="H23" s="20">
        <f>IFERROR(IF(F23&lt;5,"",SUM(F23+MAX($H$6:$H22))),"")</f>
        <v>169</v>
      </c>
      <c r="I23" s="12">
        <f>IFERROR(IF(H23="","",MAX($I$6:$I22)+1),"")</f>
        <v>17</v>
      </c>
    </row>
    <row r="24" customHeight="1" spans="1:9">
      <c r="A24" s="12">
        <v>18</v>
      </c>
      <c r="B24" s="7">
        <v>10</v>
      </c>
      <c r="C24" s="7">
        <v>28</v>
      </c>
      <c r="D24" s="17">
        <f>IFERROR(VLOOKUP(DATE($B$5,$B24,$C24),温度记录!$A:$C,2,1),"")</f>
        <v>6</v>
      </c>
      <c r="E24" s="17">
        <f>IFERROR(VLOOKUP(DATE($B$5,$B24,$C24),温度记录!$A:$C,3,1),"")</f>
        <v>12</v>
      </c>
      <c r="F24" s="18">
        <f t="shared" si="0"/>
        <v>9</v>
      </c>
      <c r="G24" s="19" t="str">
        <f t="shared" si="1"/>
        <v>√</v>
      </c>
      <c r="H24" s="20">
        <f>IFERROR(IF(F24&lt;5,"",SUM(F24+MAX($H$6:$H23))),"")</f>
        <v>178</v>
      </c>
      <c r="I24" s="12">
        <f>IFERROR(IF(H24="","",MAX($I$6:$I23)+1),"")</f>
        <v>18</v>
      </c>
    </row>
    <row r="25" customHeight="1" spans="1:9">
      <c r="A25" s="12">
        <v>19</v>
      </c>
      <c r="B25" s="7">
        <v>10</v>
      </c>
      <c r="C25" s="7">
        <v>29</v>
      </c>
      <c r="D25" s="17">
        <f>IFERROR(VLOOKUP(DATE($B$5,$B25,$C25),温度记录!$A:$C,2,1),"")</f>
        <v>4</v>
      </c>
      <c r="E25" s="17">
        <f>IFERROR(VLOOKUP(DATE($B$5,$B25,$C25),温度记录!$A:$C,3,1),"")</f>
        <v>9</v>
      </c>
      <c r="F25" s="18">
        <f t="shared" si="0"/>
        <v>6.5</v>
      </c>
      <c r="G25" s="19" t="str">
        <f t="shared" si="1"/>
        <v>√</v>
      </c>
      <c r="H25" s="20">
        <f>IFERROR(IF(F25&lt;5,"",SUM(F25+MAX($H$6:$H24))),"")</f>
        <v>184.5</v>
      </c>
      <c r="I25" s="12">
        <f>IFERROR(IF(H25="","",MAX($I$6:$I24)+1),"")</f>
        <v>19</v>
      </c>
    </row>
    <row r="26" customHeight="1" spans="1:9">
      <c r="A26" s="12">
        <v>20</v>
      </c>
      <c r="B26" s="7">
        <v>10</v>
      </c>
      <c r="C26" s="7">
        <v>30</v>
      </c>
      <c r="D26" s="17">
        <f>IFERROR(VLOOKUP(DATE($B$5,$B26,$C26),温度记录!$A:$C,2,1),"")</f>
        <v>9</v>
      </c>
      <c r="E26" s="17">
        <f>IFERROR(VLOOKUP(DATE($B$5,$B26,$C26),温度记录!$A:$C,3,1),"")</f>
        <v>13</v>
      </c>
      <c r="F26" s="18">
        <f t="shared" si="0"/>
        <v>11</v>
      </c>
      <c r="G26" s="19" t="str">
        <f t="shared" si="1"/>
        <v>√</v>
      </c>
      <c r="H26" s="20">
        <f>IFERROR(IF(F26&lt;5,"",SUM(F26+MAX($H$6:$H25))),"")</f>
        <v>195.5</v>
      </c>
      <c r="I26" s="12">
        <f>IFERROR(IF(H26="","",MAX($I$6:$I25)+1),"")</f>
        <v>20</v>
      </c>
    </row>
    <row r="27" customHeight="1" spans="1:9">
      <c r="A27" s="12">
        <v>21</v>
      </c>
      <c r="B27" s="7">
        <v>10</v>
      </c>
      <c r="C27" s="7">
        <v>31</v>
      </c>
      <c r="D27" s="17">
        <f>IFERROR(VLOOKUP(DATE($B$5,$B27,$C27),温度记录!$A:$C,2,1),"")</f>
        <v>6</v>
      </c>
      <c r="E27" s="17">
        <f>IFERROR(VLOOKUP(DATE($B$5,$B27,$C27),温度记录!$A:$C,3,1),"")</f>
        <v>9</v>
      </c>
      <c r="F27" s="18">
        <f t="shared" si="0"/>
        <v>7.5</v>
      </c>
      <c r="G27" s="19" t="str">
        <f t="shared" si="1"/>
        <v>√</v>
      </c>
      <c r="H27" s="20">
        <f>IFERROR(IF(F27&lt;5,"",SUM(F27+MAX($H$6:$H26))),"")</f>
        <v>203</v>
      </c>
      <c r="I27" s="12">
        <f>IFERROR(IF(H27="","",MAX($I$6:$I26)+1),"")</f>
        <v>21</v>
      </c>
    </row>
    <row r="28" customHeight="1" spans="1:9">
      <c r="A28" s="12">
        <v>22</v>
      </c>
      <c r="B28" s="7">
        <v>11</v>
      </c>
      <c r="C28" s="7">
        <v>1</v>
      </c>
      <c r="D28" s="17">
        <f>IFERROR(VLOOKUP(DATE($B$5,$B28,$C28),温度记录!$A:$C,2,1),"")</f>
        <v>5</v>
      </c>
      <c r="E28" s="17">
        <f>IFERROR(VLOOKUP(DATE($B$5,$B28,$C28),温度记录!$A:$C,3,1),"")</f>
        <v>11</v>
      </c>
      <c r="F28" s="18">
        <f t="shared" si="0"/>
        <v>8</v>
      </c>
      <c r="G28" s="19" t="str">
        <f t="shared" si="1"/>
        <v>√</v>
      </c>
      <c r="H28" s="20">
        <f>IFERROR(IF(F28&lt;5,"",SUM(F28+MAX($H$6:$H27))),"")</f>
        <v>211</v>
      </c>
      <c r="I28" s="12">
        <f>IFERROR(IF(H28="","",MAX($I$6:$I27)+1),"")</f>
        <v>22</v>
      </c>
    </row>
    <row r="29" customHeight="1" spans="1:9">
      <c r="A29" s="12">
        <v>23</v>
      </c>
      <c r="B29" s="7">
        <v>11</v>
      </c>
      <c r="C29" s="7">
        <v>2</v>
      </c>
      <c r="D29" s="17">
        <f>IFERROR(VLOOKUP(DATE($B$5,$B29,$C29),温度记录!$A:$C,2,1),"")</f>
        <v>3</v>
      </c>
      <c r="E29" s="17">
        <f>IFERROR(VLOOKUP(DATE($B$5,$B29,$C29),温度记录!$A:$C,3,1),"")</f>
        <v>9</v>
      </c>
      <c r="F29" s="18">
        <f t="shared" si="0"/>
        <v>6</v>
      </c>
      <c r="G29" s="19" t="str">
        <f t="shared" si="1"/>
        <v>√</v>
      </c>
      <c r="H29" s="20">
        <f>IFERROR(IF(F29&lt;5,"",SUM(F29+MAX($H$6:$H28))),"")</f>
        <v>217</v>
      </c>
      <c r="I29" s="12">
        <f>IFERROR(IF(H29="","",MAX($I$6:$I28)+1),"")</f>
        <v>23</v>
      </c>
    </row>
    <row r="30" customHeight="1" spans="1:9">
      <c r="A30" s="12">
        <v>24</v>
      </c>
      <c r="B30" s="7">
        <v>11</v>
      </c>
      <c r="C30" s="7">
        <v>3</v>
      </c>
      <c r="D30" s="17">
        <f>IFERROR(VLOOKUP(DATE($B$5,$B30,$C30),温度记录!$A:$C,2,1),"")</f>
        <v>2</v>
      </c>
      <c r="E30" s="17">
        <f>IFERROR(VLOOKUP(DATE($B$5,$B30,$C30),温度记录!$A:$C,3,1),"")</f>
        <v>8</v>
      </c>
      <c r="F30" s="18">
        <f t="shared" si="0"/>
        <v>5</v>
      </c>
      <c r="G30" s="19" t="str">
        <f t="shared" si="1"/>
        <v>√</v>
      </c>
      <c r="H30" s="20">
        <f>IFERROR(IF(F30&lt;5,"",SUM(F30+MAX($H$6:$H29))),"")</f>
        <v>222</v>
      </c>
      <c r="I30" s="12">
        <f>IFERROR(IF(H30="","",MAX($I$6:$I29)+1),"")</f>
        <v>24</v>
      </c>
    </row>
    <row r="31" customHeight="1" spans="1:9">
      <c r="A31" s="12">
        <v>25</v>
      </c>
      <c r="B31" s="7">
        <v>11</v>
      </c>
      <c r="C31" s="7">
        <v>4</v>
      </c>
      <c r="D31" s="17">
        <f>IFERROR(VLOOKUP(DATE($B$5,$B31,$C31),温度记录!$A:$C,2,1),"")</f>
        <v>9</v>
      </c>
      <c r="E31" s="17">
        <f>IFERROR(VLOOKUP(DATE($B$5,$B31,$C31),温度记录!$A:$C,3,1),"")</f>
        <v>11</v>
      </c>
      <c r="F31" s="18">
        <f t="shared" si="0"/>
        <v>10</v>
      </c>
      <c r="G31" s="19" t="str">
        <f t="shared" si="1"/>
        <v>√</v>
      </c>
      <c r="H31" s="20">
        <f>IFERROR(IF(F31&lt;5,"",SUM(F31+MAX($H$6:$H30))),"")</f>
        <v>232</v>
      </c>
      <c r="I31" s="12">
        <f>IFERROR(IF(H31="","",MAX($I$6:$I30)+1),"")</f>
        <v>25</v>
      </c>
    </row>
    <row r="32" customHeight="1" spans="1:9">
      <c r="A32" s="12">
        <v>26</v>
      </c>
      <c r="B32" s="7">
        <v>11</v>
      </c>
      <c r="C32" s="7">
        <v>5</v>
      </c>
      <c r="D32" s="17">
        <f>IFERROR(VLOOKUP(DATE($B$5,$B32,$C32),温度记录!$A:$C,2,1),"")</f>
        <v>8</v>
      </c>
      <c r="E32" s="17">
        <f>IFERROR(VLOOKUP(DATE($B$5,$B32,$C32),温度记录!$A:$C,3,1),"")</f>
        <v>11</v>
      </c>
      <c r="F32" s="18">
        <f t="shared" si="0"/>
        <v>9.5</v>
      </c>
      <c r="G32" s="19" t="str">
        <f t="shared" si="1"/>
        <v>√</v>
      </c>
      <c r="H32" s="20">
        <f>IFERROR(IF(F32&lt;5,"",SUM(F32+MAX($H$6:$H31))),"")</f>
        <v>241.5</v>
      </c>
      <c r="I32" s="12">
        <f>IFERROR(IF(H32="","",MAX($I$6:$I31)+1),"")</f>
        <v>26</v>
      </c>
    </row>
    <row r="33" customHeight="1" spans="1:9">
      <c r="A33" s="12">
        <v>27</v>
      </c>
      <c r="B33" s="7">
        <v>11</v>
      </c>
      <c r="C33" s="7">
        <v>6</v>
      </c>
      <c r="D33" s="17">
        <f>IFERROR(VLOOKUP(DATE($B$5,$B33,$C33),温度记录!$A:$C,2,1),"")</f>
        <v>5</v>
      </c>
      <c r="E33" s="17">
        <f>IFERROR(VLOOKUP(DATE($B$5,$B33,$C33),温度记录!$A:$C,3,1),"")</f>
        <v>14</v>
      </c>
      <c r="F33" s="18">
        <f t="shared" si="0"/>
        <v>9.5</v>
      </c>
      <c r="G33" s="19" t="str">
        <f t="shared" si="1"/>
        <v>√</v>
      </c>
      <c r="H33" s="20">
        <f>IFERROR(IF(F33&lt;5,"",SUM(F33+MAX($H$6:$H32))),"")</f>
        <v>251</v>
      </c>
      <c r="I33" s="12">
        <f>IFERROR(IF(H33="","",MAX($I$6:$I32)+1),"")</f>
        <v>27</v>
      </c>
    </row>
    <row r="34" customHeight="1" spans="1:9">
      <c r="A34" s="12">
        <v>28</v>
      </c>
      <c r="B34" s="7">
        <v>11</v>
      </c>
      <c r="C34" s="7">
        <v>7</v>
      </c>
      <c r="D34" s="17">
        <f>IFERROR(VLOOKUP(DATE($B$5,$B34,$C34),温度记录!$A:$C,2,1),"")</f>
        <v>2</v>
      </c>
      <c r="E34" s="17">
        <f>IFERROR(VLOOKUP(DATE($B$5,$B34,$C34),温度记录!$A:$C,3,1),"")</f>
        <v>13</v>
      </c>
      <c r="F34" s="18">
        <f t="shared" si="0"/>
        <v>7.5</v>
      </c>
      <c r="G34" s="19" t="str">
        <f t="shared" si="1"/>
        <v>√</v>
      </c>
      <c r="H34" s="20">
        <f>IFERROR(IF(F34&lt;5,"",SUM(F34+MAX($H$6:$H33))),"")</f>
        <v>258.5</v>
      </c>
      <c r="I34" s="12">
        <f>IFERROR(IF(H34="","",MAX($I$6:$I33)+1),"")</f>
        <v>28</v>
      </c>
    </row>
    <row r="35" customHeight="1" spans="1:9">
      <c r="A35" s="12">
        <v>29</v>
      </c>
      <c r="B35" s="7">
        <v>11</v>
      </c>
      <c r="C35" s="7">
        <v>8</v>
      </c>
      <c r="D35" s="17">
        <f>IFERROR(VLOOKUP(DATE($B$5,$B35,$C35),温度记录!$A:$C,2,1),"")</f>
        <v>2</v>
      </c>
      <c r="E35" s="17">
        <f>IFERROR(VLOOKUP(DATE($B$5,$B35,$C35),温度记录!$A:$C,3,1),"")</f>
        <v>8</v>
      </c>
      <c r="F35" s="21">
        <f t="shared" si="0"/>
        <v>5</v>
      </c>
      <c r="G35" s="19" t="str">
        <f t="shared" si="1"/>
        <v>√</v>
      </c>
      <c r="H35" s="20">
        <f>IFERROR(IF(F35&lt;5,"",SUM(F35+MAX($H$6:$H34))),"")</f>
        <v>263.5</v>
      </c>
      <c r="I35" s="12">
        <f>IFERROR(IF(H35="","",MAX($I$6:$I34)+1),"")</f>
        <v>29</v>
      </c>
    </row>
    <row r="36" customHeight="1" spans="1:9">
      <c r="A36" s="12">
        <v>30</v>
      </c>
      <c r="B36" s="7">
        <v>11</v>
      </c>
      <c r="C36" s="7">
        <v>9</v>
      </c>
      <c r="D36" s="17">
        <f>IFERROR(VLOOKUP(DATE($B$5,$B36,$C36),温度记录!$A:$C,2,1),"")</f>
        <v>3</v>
      </c>
      <c r="E36" s="17">
        <f>IFERROR(VLOOKUP(DATE($B$5,$B36,$C36),温度记录!$A:$C,3,1),"")</f>
        <v>10</v>
      </c>
      <c r="F36" s="18">
        <f t="shared" si="0"/>
        <v>6.5</v>
      </c>
      <c r="G36" s="19" t="str">
        <f t="shared" si="1"/>
        <v>√</v>
      </c>
      <c r="H36" s="20">
        <f>IFERROR(IF(F36&lt;5,"",SUM(F36+MAX($H$6:$H35))),"")</f>
        <v>270</v>
      </c>
      <c r="I36" s="12">
        <f>IFERROR(IF(H36="","",MAX($I$6:$I35)+1),"")</f>
        <v>30</v>
      </c>
    </row>
    <row r="37" customHeight="1" spans="1:9">
      <c r="A37" s="12">
        <v>31</v>
      </c>
      <c r="B37" s="7">
        <v>11</v>
      </c>
      <c r="C37" s="7">
        <v>10</v>
      </c>
      <c r="D37" s="17">
        <f>IFERROR(VLOOKUP(DATE($B$5,$B37,$C37),温度记录!$A:$C,2,1),"")</f>
        <v>5</v>
      </c>
      <c r="E37" s="17">
        <f>IFERROR(VLOOKUP(DATE($B$5,$B37,$C37),温度记录!$A:$C,3,1),"")</f>
        <v>4</v>
      </c>
      <c r="F37" s="18">
        <f t="shared" si="0"/>
        <v>4.5</v>
      </c>
      <c r="G37" s="19" t="str">
        <f t="shared" si="1"/>
        <v>×</v>
      </c>
      <c r="H37" s="20" t="str">
        <f>IFERROR(IF(F37&lt;5,"",SUM(F37+MAX($H$6:$H36))),"")</f>
        <v/>
      </c>
      <c r="I37" s="12" t="str">
        <f>IFERROR(IF(H37="","",MAX($I$6:$I36)+1),"")</f>
        <v/>
      </c>
    </row>
    <row r="38" customHeight="1" spans="1:9">
      <c r="A38" s="22">
        <v>32</v>
      </c>
      <c r="B38" s="7">
        <v>11</v>
      </c>
      <c r="C38" s="7">
        <v>11</v>
      </c>
      <c r="D38" s="23">
        <f>IFERROR(VLOOKUP(DATE($B$5,$B38,$C38),温度记录!$A:$C,2,1),"")</f>
        <v>11</v>
      </c>
      <c r="E38" s="23">
        <f>IFERROR(VLOOKUP(DATE($B$5,$B38,$C38),温度记录!$A:$C,3,1),"")</f>
        <v>14</v>
      </c>
      <c r="F38" s="18">
        <f t="shared" si="0"/>
        <v>12.5</v>
      </c>
      <c r="G38" s="19" t="str">
        <f t="shared" si="1"/>
        <v>√</v>
      </c>
      <c r="H38" s="20">
        <f>IFERROR(IF(F38&lt;5,"",SUM(F38+MAX($H$6:$H37))),"")</f>
        <v>282.5</v>
      </c>
      <c r="I38" s="12">
        <f>IFERROR(IF(H38="","",MAX($I$6:$I37)+1),"")</f>
        <v>31</v>
      </c>
    </row>
    <row r="39" customHeight="1" spans="1:9">
      <c r="A39" s="24" t="s">
        <v>177</v>
      </c>
      <c r="B39" s="25"/>
      <c r="C39" s="25"/>
      <c r="D39" s="25"/>
      <c r="E39" s="25"/>
      <c r="F39" s="25"/>
      <c r="G39" s="26">
        <f>COUNT(C7:C38)</f>
        <v>32</v>
      </c>
      <c r="H39" s="27" t="s">
        <v>178</v>
      </c>
      <c r="I39" s="37"/>
    </row>
    <row r="40" customHeight="1" spans="1:9">
      <c r="A40" s="28" t="s">
        <v>179</v>
      </c>
      <c r="B40" s="29">
        <f>COUNTIF(H7:H38,"&gt;0")</f>
        <v>31</v>
      </c>
      <c r="C40" s="30" t="s">
        <v>180</v>
      </c>
      <c r="D40" s="30"/>
      <c r="E40" s="30"/>
      <c r="F40" s="30"/>
      <c r="G40" s="30"/>
      <c r="H40" s="30"/>
      <c r="I40" s="38"/>
    </row>
    <row r="41" customHeight="1" spans="1:9">
      <c r="A41" s="31" t="s">
        <v>181</v>
      </c>
      <c r="B41" s="32"/>
      <c r="C41" s="32"/>
      <c r="D41" s="32"/>
      <c r="E41" s="32"/>
      <c r="F41" s="32"/>
      <c r="G41" s="32"/>
      <c r="H41" s="32"/>
      <c r="I41" s="39"/>
    </row>
    <row r="42" ht="25" customHeight="1" spans="1:9">
      <c r="A42" s="33" t="s">
        <v>182</v>
      </c>
      <c r="B42" s="33"/>
      <c r="C42" s="33"/>
      <c r="D42" s="33"/>
      <c r="E42" s="33"/>
      <c r="F42" s="33" t="s">
        <v>183</v>
      </c>
      <c r="G42" s="33"/>
      <c r="H42" s="34"/>
      <c r="I42" s="33"/>
    </row>
  </sheetData>
  <mergeCells count="20">
    <mergeCell ref="G3:I3"/>
    <mergeCell ref="F4:G4"/>
    <mergeCell ref="H4:I4"/>
    <mergeCell ref="B5:C5"/>
    <mergeCell ref="D5:E5"/>
    <mergeCell ref="A39:F39"/>
    <mergeCell ref="C40:I40"/>
    <mergeCell ref="A41:I41"/>
    <mergeCell ref="A42:C42"/>
    <mergeCell ref="D42:E42"/>
    <mergeCell ref="F42:G42"/>
    <mergeCell ref="H42:I42"/>
    <mergeCell ref="A5:A6"/>
    <mergeCell ref="F5:F6"/>
    <mergeCell ref="G5:G6"/>
    <mergeCell ref="H5:H6"/>
    <mergeCell ref="I5:I6"/>
    <mergeCell ref="A1:I2"/>
    <mergeCell ref="A3:B4"/>
    <mergeCell ref="C3:E4"/>
  </mergeCells>
  <dataValidations count="5">
    <dataValidation allowBlank="1" showInputMessage="1" showErrorMessage="1" prompt="输入年份，格式如&quot;2020&quot;即可" sqref="B5:C5"/>
    <dataValidation allowBlank="1" showInputMessage="1" showErrorMessage="1" prompt="本列输入月份" sqref="B6"/>
    <dataValidation allowBlank="1" showInputMessage="1" showErrorMessage="1" prompt="本列输入&quot;天&quot;" sqref="C6"/>
    <dataValidation allowBlank="1" showInputMessage="1" showErrorMessage="1" prompt="平均大气温度大于5°判定有效" sqref="G5:G6"/>
    <dataValidation allowBlank="1" showInputMessage="1" showErrorMessage="1" prompt="平均大气温度大于5°累计温度，小于5度不累计" sqref="H5:H6"/>
  </dataValidations>
  <hyperlinks>
    <hyperlink ref="K1" location="目录!A1" display="返回目录"/>
  </hyperlinks>
  <pageMargins left="0.75" right="0.75" top="1" bottom="1" header="0.509722222222222" footer="0.509722222222222"/>
  <pageSetup paperSize="9" scale="97" orientation="portrait" horizontalDpi="600" verticalDpi="600"/>
  <headerFooter/>
  <rowBreaks count="1" manualBreakCount="1">
    <brk id="42" max="8" man="1"/>
  </rowBreaks>
  <colBreaks count="1" manualBreakCount="1">
    <brk id="9" max="19817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:customData xmlns="http://www.wps.cn/officeDocument/2013/wpsCustomData" xmlns:s="http://www.wps.cn/officeDocument/2013/wpsCustomData">
  <extobjs>
    <extobj name="44B7C0F4-79DB-4F8B-9303-0E098D69D8BE-1">
      <extobjdata type="44B7C0F4-79DB-4F8B-9303-0E098D69D8BE" data="ewogICAiTGFzdFVybCIgOiAiaHR0cDovL3d3dy50b3BzY2FuLmNvbS93cHMvaW5kZXguaHRtbD90ZXh0PWh0dHBzJTNBJTJGJTJGd3d3LmRvY2VyLmNvbSUyRndvcmtzJTNGdXNlcmlkJTNEODU0OTA1NzIxJnRleHRUeXBlPXRleHQmcm91bmQ9MCZmZ0NvbG9yPSUyMzAwNTgyNCZpbnB0Q29sb3I9JTIzMDQ1ZjIwJnB0Q29sb3I9JTIzMDA3MjM2JmdjQ29sb3I9JTIzYWNkMzcyJmdyYWRpZW50V2F5PWJhY2tzbGFzaCZsb2dvVHlwZT1ib3JkZXIiLAogICAiTG9nbyIgOiAiZGF0YTppbWFnZS9wbmc7YmFzZTY0LGlWQk9SdzBLR2dvQUFBQU5TVWhFVWdBQUFGUUFBQUJVQ0FZQUFBQWNheERCQUFBZ0FFbEVRVlI0WHUyOWViQ2Q1MVhtKy92bWI0OW5ublUwV0pJdEQ1SWR5ME5pSjNIaUpNNEFYRG9CUXQwcXVOQkEwNmtMRnk1Y1FweXhnVUJJTTFZekpRRUhFcEp3MDZHYkVJWWtkaElTY0d4bnREekpzaVJyMXRHWmh6M3ZiNzYxMXJ1UFNkWFZ1WFVwK3I5R3FsMUhnM1gyL3A1M0RjOTYxbHF2clJNblRoU3U2L0p2UC83MUNLUnBpblg2OU9saVptYm1YLy9kL3UwN3NMeTgvTStBV3BiMWI1RDhLeEFvaXVML0RlamZQL2lYUFAvMWYrVEhmc0psYkhlWDVWUDdhSjIvaFY1WVlpVlo0dUx5R3ZXUlVmcjVFa25zMG5jdU1ya3JBM0syMW1IaFlrYVMySWpwcDVHUDQ5ak16NDNSNy9kWTIyaXkrN29TMWJxTjUxdTRya1c3bVhQOGlRNlZxazE5MkNVdkNtekh3ckl0NGdSeXk4WDJMSUxBd2NVbUlzWUxiQnkzd0xKU2JDdkh0bTN3YkhBQ2JOdlMvOTd4UER6TEpTQ2s3RG5NbFNZSjdZeCsyc1YxWEpKaW1VYm5DcDBzSnNwTDlMclQySlpEbmhTa2NjcjY2anF0alJaT3VVUnBLQ1RMTFBJZ3BSU21PRmxPUVVxNzU1SWtMZ2NtYitTTkwvb1JyZ3JvSnovK1FmN2hIMytOUDNsL2pwM0hYRHcvelJjKy95cW01dzd5OU1JSldvN0R1ZVV6SktWbm1CcStnVHhzY00wdGw3Q2RtRWNlaE1zWGNuQWd5d3JpdnMzRXRNZjFoNnVNMWllNXNyU01WWXFwamJoVXE1NCsvTG5UWFI3NTRpWlRzeVVtWjEwS3NSREh3blVjdXJGRmhrKzVXaUVvVzJSWm42MUdBemV3S1kxNWxFb0ZvWmZqMmhhRUxvVlR3WEpzdkpKRnlRN1pIWXh5eS95dE9FVkN4WFVvdXg2SmdKRVhGSm5EZXU4aS8zVCtHN1N6RGtQT3RSVDVNTjFPaTgydEt6ejM1Rmw2clF4L29zVFV2aG1zUEtCVGJGR3ZSTmhSUmxha3RQc3VuWTdIaS9lOWh2ZSs4VU03QVBxeDMrZnc3Qjh3TmJwQ25IbFk5aUVlK3VMTDJUTzdseE5YVHZGUHg3OUZNemhCWlNabnNyYWZva2h3d3pabm5vWHpaMVlJUjIzY1VxRmdlYmJMZ1JzZGFzTTUxZEk0SkVPMCt1czRsWUw2a0VPZUZwdzdHYk8xbVpERUtaV2FqZVY0NE9RVWRrNHZjdkU4ajFyTko3TWpvcnlnMTBvb3JCeTNubE1iZDZnRkJhWEFKblo4Y3F1S1RjRm8xZWVtMFYzTWxZY1pLVTNqRkRseDNzVzNYZEkwcCtMWHNaMkNUdHJqMU1wbEhyM3dMT1ZraExBOFRydTN3cW5uenBJV01VNDV3eTJIT1BZSWFlN1R6eHVVZ3o1MlZPajNTWEZwdEJ6dTN2ZDZmdVg3UG5CMVFIL25nWGR3MDNVUEVFY0YxUXBZbTBmNXh0Y1BNUlE0L05abi8yL0NVb2RiNzViVHl2Q3lDZXFsT291THl6ejdSTWJrVkVnNDNhU2ZadmkraGUvYVhIOXpnQjlrdUU1RWMzbUNDK2VxYkd4c2NmQnd5TkI0UnA2QjZ4VlkrS3d1UmZUakdNdjFTQ25JQ285cTJjWHpJMUtyb0pmWjlGcXBoaGNuU0tsTSt3UmxxQVJRZUM1ZVVXRlB1Y2Flc1ZGR2dncWU0K0M3ZFNxMmkyVmxXTGFENVJRMCsxdVFlZVJlbVdPWFQzUHMzQW1DSkdCekthUFo3QkZXYmFxelhUM1l3Sy9TYjFYcFJDNjl2RVZneFFSeVFIRkdaam0wdWdGMzdYa3Q3LzJCRDE0ZDBOLzk0THVaMlBVQXJtMHM0ZGp4R1M2dVJjeE5YTWZuUHZNVWszdmEzSERZcDlWUGVlSlJ1UGZlbTdqMjlndDg1Yk5kTGp6dk1IblFKa29MZW0yTHJKOXk2SWpIK0hSQnMybXhzZWpRYnJsY3Z0UmgxejZmbWQwMkZnNStLREV4dzNGY050Y2QyaDJISEJ2WHR3a3JFWTRiWTdzZS9jS2owMDdJMGdUTHlTaU5lL2pESG9HWDQzczJlK3ZqSEoyY3ArUUVKSGxFNElmVS9TbXE3akEya0pLVDVqMEtLMlpoYTRYVEs0dWMyMXBqc2RPZzFlNlJySW1SdUpUcUx2NzRDamcrVVQvQVNVYm9kVExhM1RaWmxsTXZoZGgybHloMjZQZERYcnovTmZ6SzkrOEE2SHQvOTkzNDVRL3pvbjBGbno5cDgralpMbWx1TXp2amMrWkxGbk83VTE3MFVwZUxaelArNFcrNnZPRzdiK1Q2Rnkrd2ZDWGp3Yi9LdWZab2dXdjVIUHRhbDlKUXprMUg2K3plQjJ0ckZvMTFDQUtQczJlNjVBVmNmNlNDZUxqbmdSOVltcFJXbDIzT25rNXdKUW41Qlg0WVU2bmJGSzVGMy9GSit6RkpMOUdRNG8vWWhDTWVsVEJteVBlNWVXb1hFNlVSQ2dxc0FnS256R2hwaXVIS05GNFJFdVVkb3FMTjB0WXlpNjExRmp0YlhGcmY1UFQ2QWhOK2xXb3l6SlhGWmVLc3pmeXRrc0FzTlFBbnFkSnBRTHRaVUJRV3BjREQ5enRFY1VFY2w3anptbGZ6M2pmdkVFUGY5Zjc3K2ZxSmp6SXhYZVY4dDBHam55T2NmM2F2dzhiWDYwVDlWUTRjOFhuaUd6RmI2d2wzdjNndmIvemZMRVluNGFIUGRsbGFXY2QxeXF3dTFHaDJtK3crNkRJNzc5QnBXelNiNGtMUTZiaGNlRDdpMEpFYTQxTU9uaTlaUHljb0ZheXVXQngvdGtlNVl1RnFkcmVvRHRzVW9VOWZFbFpSa0l1RldoWmUzY1V0eDR5NU5nY25KcG12VjNGc0I3RHhDUWpzRXFGYm91eVA0T0tURkIwMjRpYVhOMWM1dGI3TThsYURTaGl4ZDdxUGg4TVRUd1JjdXRoazl5R2I4blNMelo1RnMxUEM3cGZvTmhPaVpxZ0hLdXd5cUtPSkxVdGRYckx2UG43NXpYOTBkWmYvN1ErK245LzQzZmR4elhYNzJLd3U0emtGMVltTWNOZ2xPejlPV0YrbkZEbzg4WldJd3krcmNNUDFkZTY4eTJkb3ZFTXRERGoyZU1vakR5OFJkU29zTGtvUzZETTg2akl5SlpSSURpZkhEeXNzWGU0VGxuTm01Z09xZFlkUzJhWmNkVmhaZEhqMnVUNjJuV0ZadVZwdWFUZ2s4MzFTSzhJUlN1VllGRjVPR01DUVg3QjN1TXpCaVZsc0s5UDM4QndmM3lwUjgwY28rMFA0amdSWmk3WGVPaWVXejNKMjVSeUIwK2RsKytjb2hlczAwbVVlT1pmejNIbkkyaVZtOTdlcERxV3Nkd3MyR2dIMFFub3RuNlNka2JSQ3N0aWxOTmJCc2FwUStOeXgrMlc4NXdkK2Y0ZWs5SUgzOC9kZitHdnlyR0FyV01RZjZlTU01MHlQVG5ETDRUbTgyZU9hY0hyUGpITGozWFY2L1lqdVVzTGVheVQ1Rkh6dGtTNVBQcjdDeGdhMEdsVzIxdnJZUHV3L0hPS1hIQnduSnZSRGtzUWk2cWQ0ZnNIMGJJMUszU0ZOTEo0NnRrVm1PM2loZzVWTDhuRnd3cEFpY0xEOEZNY3VjRnlMTUxDWkduYW9Cd1V6dzFWR2doSzU1VkRrNEZvdVpiZEt4YTFTOWN1a2VjWm1yOGxTYTRYMS9pSmVhWVc1MFlqZDVaaE9aSEZteStQeDh6YWR6aWlKSFRFeXZNNVEzV0twQ1d0YkxsWmhZN1dHYVRmN09GbVpMSEgwV1pOY3NyM0YzZnRmemJ2ZTlIdFhCMVJjL284LytrY2NuTi9MNFp1djQ0blZ4eG5kWFdXbVBFSHBwdWNwbkM1VFl4YXorVGhoeFNZUFlHMnA0T3lKaEF1bkpBTzNLWmNMTnRZdDB0eWgwNFcxOVM3WEhha3hNeDlTcEpMeFBkck5sRkxacDlOSjlmQ3kxR0ZsczA5dVpkU0hLL2locFhGUU9LY1YrdUFKd2MrdzNRTGJoYkJzTVROcU14YkE3dm9vam1XUlptaVNjeTJid1BZbE9tRGxGcG5uc3REWVlMWFZadStNemV6SWVVYjhIbllPeXkySGh5L1o5S015ZG42QW5uVVczOXRpYkRqbjRucEJzK3RqRlRsNWU1UzRBM0Zpa1NmQ0dDRFBmYXpNNGE3OXIrRWQzL3U3VndmMG5iLytOaDc0K0FlNDUwMTdzQ0tYL3ZJMEI2Kzlsb1gxa3pqWFBjbndiTWEreVFvVFlZZ0VFNzltTXpMdGFkejZ0WjlmWXZWU2wwUFhWMmwyY2lXL3J1ZXhjS1ZQdWVadytHaUZvR1RUYXdvTHlQRUNsOFVyRWYxdVJtNUJMalFudEtrUGhZUmxHMHVlMkhPRlYrRjZEcFluWUFyS09aYnJNRjBQdUdHcXhFVEpRMm9YRzRmQUt4SDZaVHlyaEd1SEduTE9yVjdpZkhPZFZ1WXo2bHU4L3NnU1ZyN0VXZ2VlWGJLNXZPbVI1VGRRcnM2UUZZL1RqdGVZSExHNTBzcHB0bDNzUENkdWpaTjJMT0orREJKYThneXJxR0VSY3VlK1YzSC9kLy9XRGhiNnZyZnhEeWMveHR4dEdaWTh5K2xycVExUFFaanc1T2x2c2ZkQXdWMHZyekV4N0ZKWUdlVmhsN0RxRWxSS1BQS0ZtQS85K2xtbXAzenFvejRaQ1VIWlpXT2pZSE1qNHNEMUZlckRQaVRnT0lWKy95c0xDZXVicVZTTmVKNURFRHBVS2k1RFF5R09YeEJqVVRnQ3FJM2xnUzJjMWNteEhadVpJWnZiOWd4VGNzUXFYZEpjeWxFWEt4ZnJ5WEVjajlWMm13dU5EazBja2pobnhJbDQ0MjNuU2ZJZWk1c081OWJobVV0bFJrZXVKeXlONGpxUDA0ZzJHSzk2SkduRzRsWWg5UytkMVRHNjdZTGN5YkdrMGlveUhMdEVrZFc0WSsrOXZQVjF2M0YxUUgvckkrL2hmTzNQYUxkanJiV1RqV0V1TDY3amx4Sjh4Nk54TWVEZU4xUzUvckRFa1l4K0Z5b2pJVTY1ek9JQ3ZQOFhUcEhIc0d0WGlCMFVPSUZRajRMVjVVanI5Ym5kVlMwWWdzQ21zWld6dU5nanlSenN3UERPSUpTTWIxTXF1NVNxSVpsUUlNL1Z2N09saUhMelFSMmZjODJNeTQzVGttNGwrenZrdVkzdmVuaTJRMUhrTEd4c2NxN1pwWXRIYnRrVWNjN2VhcFA3WHJUT2FydlBtUTJYQzhzV1VWYWxYRDJDaFVzNWZJcXQ3Z3BaNFRKZUxkanE1T1JSaGViS01KdXRtTXd2SUxHUVlPMEhBVVZhNXJiNSsvajVWNzkvaDlMejBWL21XMXUvejlLS1RiM200bHNXVDM4ckljc1Nha01GbGJMSGRmdUdlZWs5UHBzYkxtZE9KQnkrdlV6aTVmUjdGcjk5L3dLclZ5TG05NFg0UW4xOGo4Wm14c2Fha0hPWGlnQlZzcEh5dTlOTFNITnhYeDgzc0ZUMDhBTTVLQS9YZDRSWDQzaTJKaWdwUVMzZlVzdTJuWVFpNzNCa2I0MXJKOGJvUjMxU1c1N1J3WkdDQUl0MkwrSmN1OHQ2NFpBVjhuY0ZWU2ZqM2dQTGpOUzZMRFZ5MXRvMnB6Y0NMTzhRZGpHQ1QwRzFlb0wxYUlIMUJ1d1o5eEIxWVd1eFRuTXJKQ29LRWlzaGpTRFBiTUl3d0xFcjNETDlXbjdtbGI5NmRVQWZPdmNldm5qaUFSWTNZaXBTcWJnV0o1L0o2WGR6dGJEYXNNVzF1eWE0Ym1hYWJ6MmFjbkZwa1RmL1pCMm5HbUhuTHI5NS96S1hMN1VablFxWm5DOUI0YkowcFVXdkQ3YTZwcTN1WXRrbXVlRGFXZ1Y1dnNuc29pcjV2bGlrejhUd09KT1QwNngwRm9teURuWmdBRTJTRHFXZ3lWM1hUVEdodGJaUGtsdjBFMUdmTE5KK3l0bXREaXU1VFN5RnFoeWFCUWNtMnJ6dW1rM2FVY1Q1RFpzbkxnZDQ0UXg5SmlXVjRXZFFEYS9ROWM2d3NKWXhWUFlaTDRVc1g2aHB1TUMxNkVRUmFTYW41eENHUHE1VDR1YXA3K0duWHZwTFZ3ZjBpeGQraVM4OTl3Q3JtekdsMENacTJXeXMycXh0dEVVRVltVGNabWJPNFZYNzM4anlxUkxIMXovRFMrNnBNVExoY09sTXp1Lzl4aExOZHFRdU9qTGgwWThLa2xqU3JhT0FTallXbVV0TVZHS29mRWpYOVpSdmlvV0dZbzJCeS9qd05MZGNleWVlNjVKWWZVNnVQRWt2N3lpZzBHQnlwTWVSdVJrcWZxZ2NNL0I4ZktjcW1ZMXphMnNjYjJ6U3oyeXlJdGV3SWJ6MjVidld1WFdtd1VZWFRtOVpYR2hPc1JtUDRqZ2xmS3ZBalZJQ2I0dnk4Q0pYdHFURUxmRGpZWkorbVNMTjFVTWE3WlJDQUJVbUlTV3pWZU9XNlRmd2xydDJBUFRUVDcrVEp6Yyt3dHBHcWpwalNKa2dtK1Rieno2bmxFSEkrUHdlbDFkY2V4ZWR0V0dlWDNxSWtiR0U2L2JQODVVdkpIejZiNjlJd3RkL2E3dVpxa2VTUU9UM2hTMmt4bExOVXdDMXhUbzlpWjFpbGZJQkxYVjVzYzdob1VseUo4SVBYVzdjYzRUTnBNRlM0enhKMnNVdUxuSE5qTWZCcVhsS1lRbkhjdkVzY2UyQ3kxc3RUbTZrUkptbG1tVmFaSWhhNjNzNTkxMjd6cjZSTmhjM1VvNnYxam5YbnNJdlBLVnhaU2ZGbHFyUVR0azF0Y1JTcDBGYVdNUWI0eVJwVFlzR1BJdXRaa2ZwbVdpblllaGg1U1BjUEgwZi8vRWxPd0Q2aVg5NkR5c2pIMlpwTWRiU3lrdktSSnN1bDFxYkxLOGtWTW9XWXlNRkx6NXdPMDQyd3BYV1AyRmJFVDRWL3VwVEJXdWJQUVZLQUJOeFdVUU1LUk1GMU1JQ3UzRDA5d2pJeWlsRkRQWTF1d3VZWWVnU2xEeHVPWGduamY0YW0vMFZycG01bnRSSnVkSzZRSysvZ1pOZDRjakJNZVpHeG5Gc0Z6dkxTTk9Felc3TWhTMmJWdWFTVzBMYk11SXNKcmVoVXNwNTFjRUdtKzArcDljZDFucFZjRXE0bG9ObkJ3eDVDWGsveDdaOHhrWWJPTjRsK2xHRnJjVXBlZ2xVYW1McEJ0QWlsMmVUdUI2UVJYVnVtWDBOUC9uaS83UkRwZlRSZDFLKzR5TnNOSVZycFZ4NUlxQzlIQktWRWxwSkJ6dU1xQTI3SE4xMU0xVjdtck1yWDhGekk2b2xsMDkrM0tMWkdzUkcyN2l5WlVuTUU4NXBzclNWV2RqQ2lzVTZoWUo0RnA0Zm10Z1p1SVJsajdCa2M4Y045OUJPR2l5M0x6SXp0b2MrUGJZRTRLMHJoTzRxZDk2NGk4bGFqVFFYRjBTVDI5blZMc3RkY2Z0TWxUS1I2MnBoalpYT01yZ3hWYi9QUnQ4aHMwWE50L0FjVzJ0L3p3NFo4Vkx5T0NmUEFrYkhiSVlxbCtuMGZGYVd5MngwTWdJcGZlWDdabjE4THhFVlhHbFQzSzF5eTl4cmVNdE9GdnFPWDd1ZlplKy9jdmViWXVLK3h3Ty8xT2ZDbVM1ZXllYlFiVlhHZGttWkNVNm55dEs1T2xacGhRUFg5eWhTbjA5OUlxSGJFK3NUVTdUMUZLdVZLdnQzWGNmWnBaTjArZzNzWERLOGd5VWh3VUhMVXNucVhrazRxRTlZRHZETEZvZjMzTTdrNUJ5bmxwNmlXcXJRelZvMG93WnJxMmVabm9nNWV1MDBnV01USndscGtkUHNGbHhwVllnemgxemN2RWpKN0F6YmR1Z2xQVEk3MFpkMHpiUk5JajlkRjhmMkNLeUFZV0VlYVVhUlZxaVdBdXJsUGxHVXNieGUwSWxUNGlJblRRcnlQS1pXRTFCOWVzMEFLNjF5NjY1WDhKYTdmbm1IU3VsOTkvT2hqLzhwMy84VEljZVBwVHg5cklkRm9xS0U2d1pVUnVEbTIwSm1aMHA4NjVFTzNTaG0zL1VlelUySEt3dVJ4akZwUTBoYUZkY1B2WkR4b1FsV093dEVTU0xuaWpNQVZHcHl4N2UxT3ZKS0xtRVlFbFlEU2xXUG9mSW90eCs2bTEwVGU3aTRlWlpuRnI5SnE5ZGljK01rOHhNMlI2K2R3N1p6MnQwdWNRWXJqUXBiU2FDV21lVVpPUW1wbGVybkVYQlRLNkd3eGJJa24xZ2EwMFYvZFN3ZjN3N3diQitmRUFzUDM3R29oOUJwWmpUaWhDUkxTTk1lbVhoQ2xxcFdiQlVCcE1JTlFnWDBwMTcyM3FzRCtvNy8vRFkrOExFL1JQcjBRcFNMSWpaSlJZOVdsQjVURFk2TWwrajB4QktFVjB2bEFxNHI1YUpVTm9LbmFaNUorWmhid2gwZEplQjI3bEE0aGZhQlBLRkxnYXQweVZkWDl5blhRa3FWRWlVdklQQkxoT1VLbVpPUzJ3a3Jhd3RzTnAvbjRMelA0WDBUZUs0SXlSbHJUWWZMclpCY0t4ajVORGxKRVpNV0lpbWJXQ3JXcXNXN3FRSzBFU2pXNnprQnZ1MWoyeTRPb1I2Mk1Ga25zOG1selpIMTFOWFZFMUpSczJLbFlSSm1UTnV3ekIyN1hzbi84ZkpmMnhuUUQzNzhqL1FrdFc3T2JlVndBcGdrRTZFNmptWndRVERYN3FJMkhiMkF2QkFyeUYvNDRBWlFZVFh5WjFLc2cxTklNeTNIYzZXcThRMmc0dTVsNCs2VmVvbHl0VXdvaWNvUHRkS3lYUGtBc0xpNndPYm1LZlpQQnV3L1VLTmNLdFB2dytXTmtGWmlLSkpLcGhURVJheVdLYWtra1lhS2JlS3FVVXdLYlFKSzJIR2RBTStTVE8rTEVxQ013WmFIekYzc1ZFU2JIa21hRXFjQ2FFS1dKNlNadG1OVmhiS0xNaStldjVlZmVjV3Y3d1RvL1h6b0UzK0VwZkZISFVTdHpoRkFMQXZITlI5RStLUG9rcExKaFpUWFI0Wm9keHY2cGtMYUZYeWhTbEtsaVd5VXAxaUZoV041Rkc2aFZoNUlIeWdJQ1NvdTVYS0pzQkpTcVpXb1ZFSjgzOGYzQXcwSndnVGsrNnhzTExDeWNwS3B1czJoR3p3Q3Y4SldlNWpWWmtDS2VFdW1GWkVRcGNRUzlpbC9tcEpZSW1pSXJhWlFwRnJ2QzFWU1FGMERvRytYMUgyM0FYVWtGaWZTYVkxSmtvZzBFVEJqRFNmS0hPVHdjZ2M3Qzdsei9sNSsvbFU3MVBMditzMzcrWk5QaW9VS0tQS1NJRzVJdWJTSExjdTROVUo1SE1mOG5XK3BjRkhrcGxJeGJpVXVKUWNwTHBocDdXc1g4bWN1amlzUFlnNGlDRDNDc2srNVVxRlVMVk1aQ2doTGt2VkRBdCtVb09LZVVwdWZYemhMbG14dzZFQ0phbTJkUEIxbGFiTkdsRnJtZlhJQnpjQW9KYUs4cndIVTlNY1FpaTlWbWppMUFHazdhcW5Tc3BGTTcxcWhnaXN2Y2ZsQ0xEVExpT050UUtVRVR6V21adUwydWJBV0ErZ3Z2R1lIdGVuZHYvMkxQUERKRHhnaXJrTUhqb0lrMXBpN0V0QnQzSUVyUy9LeFJOUVY3M2VHY0J6Uk05c0twcnFlWldLWUVua2hHdUp0WXBXU0RGeXhUcHR5MmFkVUNpbVh5OXAvTDQyVWxLeEw3OG5mQnRTV1lpQmxiWFdGZm11VjBZa21zM00ycmRZb1d4MWpuUm83eFJIRTNVblVLdVc5WS9sYlcrUkJPZFJNbFNMeEhtRWc4b3dDcUNZbFM5eTliQXhFUUpWcUtNa1V1Q1JKOUxWdHBYSndNc2doajFWa2dRTDYxdnQrKytvdS81OSs5KzM4NmFjK3FJbEQrR0loTmJmOEZBdVZwR09KTENaZmpVdUxDY3QvV3k0UGFUZXhIN1cwdzZqRmtGUFdCOG1sMHlpSlFCaVZLKzVtckZTbVIwcVZrR28xVkF1dFZFWGVHMkZxYkk1NnRhcUpxSisyVldxVEgrMzJKcTIxVmNibjFxaldTbXh1RFJNbGtBZ1hWVEROejBnQlRkUXRVenZWenlBL3hYYTNEMXVNUXNBVUhpcUF1dUx5QXFyRVVhbm5KTnltQmxBQjBpU2xWRVdpUE12VmNqVTU1VDUzN25vbGIzM3Q3MXdkMEYvNS9YZncwZi8reDJUcTZqYTVuZU1VeHUzRXJZMHJHNDRwNEdxTVZBcFFrQW1abG94dURCSy9WRlhTM21vdkQ4S0grWGNTaDZVYUdwNHJrL1p5S3A1TWgxUVYwTjJ6KzBudGlQbkp2ZnJBaldpVlhpSldYOUJxYm5MeTZlYzRlRk5HdFRKQnUxZFNRaDhYQ2JubUk4M3B4RmFzVmlxZUlReEIzRjZoRmlzZC9IQXNXL3YyTHdEcVZOVDEzU0xFa1paSFhwQm4zd2xvcXUxckFWSEEzQVkwejF6dTNIVXZiMzN0RGhiNmF4OTROeC85OUorUWkxdXJxeGRLRHZUSU5NUDdKbU1Md1BvQjVVa2tyZzVpcFQ2WWlYbWF0T3dTU0k5Zm5GR3BsL1RmRGFENzdwaW10NVpBRDZyVkN1VjZsZXZuRHJPUnJqQXpOczlvYlp5RnJlZUpSUzhqcGRWcXNMVDRMTFB6SGxZMlRaSmFPdUdSSU5aaTNsOWVmVXNjWFFETnlCd1RSeVZrQ0FPUnpvQWxSbUZKNkhKVk85Vk1iNWROTEMxS0NtZ2hsRkVzTVRWbHJYN05JekoxOVlJc1R3MjRpZnYvSFVQZi95ZnY0V04vOHdBU1FsVGdzQnhjNFhCYWYwdmMwVktEUXFZd0pHa0pvSVdqN3FRdjFSNk54ZHAyU2hpTVV0Z3hTV1lvakR5YzZ3bUo5emh3MXd4cEl5TnVGTlRxZGNxVkVnZG1EaG0rSzcwa0o2ZWJ0UFU5Q2hLaWZwZEc2emxxMVFwWlBLUVBKVFJHb3FWOGQ0bVI4ak95aFlOS1VrcEpCVVQ5YkVMcFpOckRQSXB3VFFGVWxINEIxTGNFVUErUE12WjNBSnFybXc5QXpXSTFGQVZTdzR5MHRIM2xvVDkzNzMrK3Vzdi94a2QraWIvNDdKOXFmRlJSUTRpa0paTWFscnEyWkdkSjl4Slp6ZlNqZkdCUmRoTElVZ3JMTXRhU2hvUk9qYkJja0xzOWVrbGtpRGNpTkVzaThqbHc5eXhGMnlaZVM2alV5Z3JvY0gyY2ZkUFgwU3NhZE9JTjQ2QUZBNkdqU1p4Y0JvYTBsVnNJSjh4VG5jZ3poTjZvU3hJM1l4R0NKVEZKV0JMTGxUanFTQndWdGlHR1lveEZoSkhKMGg3cXZvU1FUWktzYjdxY21XY29tSUlwalVSeC8waWZjN3VBMEM1QjVuRDczQ3Y0bVh2ZXQ4TW96bC84Q3AvNndrZE1pU1l1di8xeWJIVVhxWU1sZHBvZkFxUUFMY0U1UTlLcy9KU0hUS0tDK2FrRHJFZkxPaldubzRKV1RubkNvOWROQ1FxUDYxNjZpNktYTXlTOWM5ZWoyNG9KSzJXOGlzdG90VW9oWlJpMnhrZXhDQStMYnRxa2w2VGtTVXd1SldGdXdGUExVWmN2U0oyRVNHQzJZcVZMQnRCYzQ2bFFKd09vVWIxR3ZXa21LM1BFVWNKTmszZnc3SlZqdFBNR1RoWW9jT0xpYVNiOFZpb3VHYlhZanNPV0NRdTV3OUdaZS9pcGwrNVFldjdCcDk3SGYvL3luNzhBcUZpbHllaENyZ1ZSSWZjbThRaXM4bkdsQTZpbkptODZJTmd5QXpRM3RwdlY1aHFwS0RTK3IyWHJ4TFUxeWtNZVdkOW0vb1pKd2p5a3Y5cWoxMHkwbEN5Vks4eE1UUko0SHMxK1N5c1NDYjdDSFdkSDlyTzhkWjZWNW1XMW1DSk5TUExZQURwSVBZVllwcDJSV2hsSkVha2dJb2NzR1Y4QUZhZVNPa09PU2dZaWJoeTVrOFhtZ2hZQ0IrdUhxVHBEUEw5MlRFZHU1Q0RWMndaSlNLMVRhazQxTnBuTGNwR2tkSFRtN3AzVnBnLys5YS96bVljRlVBT2tKaDlUTWcycUhsT0dTaDBydGI1R3I4SzRzMlkvclZRTXZjNXpTVTd5cllUd3UzaHVDY3VIVWlVZ0hISTVjTWMwMFRvMEwvYXBsQUtHaDRlb2xxc1F5TFNjaXVLNEdzOWtuamJBODZ0MGV1czB1cXVrc2RDWGhLd1FRQ1hVeUZGcWpsZlhUbFVQalkwb29wOUhXSWdSUnd3aU52VmdqTU9qTCtIWTJxTUVlWWt4YjRickoyL2ptY1d2cWdpU3k1Q3RHSTRVRENMZEZTYTBLQzVxVytJekFiZE0zTWwvdVBNOVYzZjVELy9kYi9HM2ovNEZ1VmltblFweE5IbGNYVi9pWnFFUlZDdzJzMlc0UU40NGw0cU9RaVF6bWFZUWE4amx3dzhJdDRsY1dnU0lBbFVkOHBuY1YySFA0VW1hQ3luOURYVHFiWHBpa29taEVXM3NkZE5FTlVzNXFHN1VwK3pYQ1lNS0sxdVhhUFVhcEhGTUlhVmdFU3Z2M0FaVUZLYkVrVmlYYVNoS0I1UkpRNEs4TkZ4SkI4RmhOSmprcHBHN2VIejlZYnc4WU5pZDRORDRpM2h1OFZHMXlsd1BzeUROSWhWRlRKQ1RTc3BrTnNGREJPbWJKdS9peDI1NzU5VUIvZk9IZm9mUGZmT1RobDZvaVJpeWJHS3BBR3ZqMjlMZUZTSWpieVM4ekZMM0U5SXJBa1dheXFuSzZVcHMwMFl3dVdZd205cHN3UDY3cGloWFBTcFdsWTF6ZlZyTFBaWDU5dTJhWjN4MFRHZEV1M0ZNdVNSazI2YlphcExsVUN1TnN0NVlwTlZ2a0NVSlJTYlpYQ3hVWXFXaDdwa2tKRWRvbGd6dENxY1FEekp1cWtSZllxZ1FkOXVoN2cxeDUrVHJPYjcrVFNYdU0wTUhHUGZxbkZsNVdzRVJ0aUp4WEo1RHZOQVUxQko3QlVqQlE2b3FuNXVtN3VKSGIzMzcxUUg5eEpkL2p3Y2YvOHVCVzRnOEpJbG44RnRSdVQxUEs2VkVzbDl1M0VuZVJtZnFKVmtNaUs5YWc1NnlZUUc1eEVHWk5DbmJETzh0cy9lR1VWcVhVell1OXlsNUliVmFqZkdSRWJVY2FZY0taNVc0SzJWcXJ5OWFwQ0hVVWdLcVNKRWtPb1VueFdWc1JWcm1DaVVTUUJQSHVHWW1WZHEyS0tKd0M2VWI4R2JMUXhUUUYwMitRcjREUysxTGpQc1RkT01XbmJnbldSQXJNM2xCZzVnODY3YTdDODlSQ2ltaHlWTUwvWkVYM2I5RFgvN2hQK1JMVDM3YUNDQ1dES2RLYTFJME9PR0ZOcVVnVkpBU2VhV1J4aFVoL1lic0dvcVJwSktCQlZBUmQ4VmFaVkRiRkFubElZZmhYWFZHcHNvc0hHOFJCaDc3OXN3eE1qek81bnFMZmovQjkwTXRUK1g5SkJGYU9oZS9EYWp3d3RoVUxlSVZXaE1KUFpKa2xHdGxKN1JKc3J0bWZhbmoxVUxsV0xXZVEwb1ZxNUJ5eFdYY0grZk9YYStqRWc1ei9QTFhXTzR0NFlobGFrWXlDVW1MQW4wTjR1ZS9CTkQvOXRnSCtmTHhUd3QrTXJ4aTNMNndOVGhibmtNbzB4SkZRWndseEdtc0Zxb1pkeUNBYUhXU3BUcURMblZ3WHg1QVB4enN2ckZPTU9RUzFrTDlzeUF2VTNhSGFheEZkRHM5M0VKbWswSThYN1pIZkEwdkVpbTBUczlOdVNjaXIxUXVhcDBDck1LWmtOc1JzV2llOHRNMVZpVU9yOVdSS0YzeTUrTEdLaks0T2k4Z0hWZ2w5bmFKVWlIOUwwL2xSVWVBbEVTa2FyOVVTMktkUXJuTUQwTWRwUVFYTGRqRTBCL2R5VUkvL2MwUDhmQnpmNjFBS2NVUVFBZE9yd05kZzFhd3VrL3hIWmFwbVZCK0w1bmV6TTZyeFdwVm9TSWE0WVRIL3FQak9JWEYxcmsrY2R0aVp0Y2ttMnM5NHNpaTdJZjRzZzdqeXdDQnlHdUQ5ck1RZXluMVJLeElNeFY4TlY1TEtTamtYbFd0bUVTRmtGem5qNHdseXEvTlZ3bGNldVlpY0d2eEtVV0xUUFlIdURwWUpxM29RTXRPNGFueVBuSVE4anlTbExZdDFBQnFQcGVKb1EzLzBjc0FBQnV2U1VSQlZCNDNUZDNOdnovNmpxdTcvTjg4L3NkODllUm5ERFV3NS9HQ0xxcVdvaWpMbExEOHdyeXBXczdnNjdhRnlsck5DMEtDakxBVUdjUHpBYnNQRFhIK3FRMzZLd1cyYnpPemQ1alorVEV1blcxRDR1dkFnaWV5blFnWEtzQ1locG8wMDZTY2pMbzk5UXhoRjhKdnMwTGNYZ2lUeUhTbU1oS1hGN0lwd3JiMm1NUmROWTJLdWN1Z3pxQUt0RzA4UkxxVDZST1pjWFp4Y3hrTUZvOGNXS21LeWhLVGhjYjhjeTZSdHBDWk1uQTVQUFZTZnZ6MkhiTDgzeDE3Z0VlZi85c1h3RFJTZ3FsL1ZhcVR6NlRuYmZpWitMSktYTkp5VUF1VklWU3hVRlB2S2pjdENrYm1RMllQVkZsNGZvTzFoUzVXWnBhMC9JckR0ZGZQVXZXR1dMemMxdVFsN1djQjB4MTBCMnJoa0RiUlFpdWdGVFZaYWl3WW9WZktXV25BYWJzalZzc1VvVmw0cUZRZTI5V1R4Rm0xVmttTU9oY2cxRWVtUG15VjdIeTh3ZS9Ob3BobWQvVXMrVGVTYUxjSnZaa3hNTVRlaU9VQzZKR1psKzFNbS83K3lRL3p0VE4vUDRpSllva0cwbTB5cS9SakVOZU15NXRxUHBWb0tWWTVzRXhqdWRMUVNwaVlxeko5b003ekoxZFpXK3FZd2YrS3k4aElEZGQyYUd6MUdRN3JXRlpJcG9DS1lDRVc2bEx5QXlicnN5eTFMdUZiSWVQaExHZFhUOUNKVzVyeHhTTVMrc29UTXdGeGtPbEZ4elYxbkZpdnFlQzBuU1RXcWZxWnRHTWNodnh4WmtibU9EUjJPMFczNElrckQ5TkpXNXJsVmU3UnBweUkwMlp6eitCcEtLUWxReFo0SEo1K0tUOXgrN3V1N3ZLZmUrclBlT3pNMzcxUXc4dkppbVlvSU1oTDNVWUJOZldIMEpudGg1S1QxWXBKU0wzRXRUeG5lTFNrazhlckd5M2lYc2FlR3lhVTRqVFd1eVJkaTdtOTQ2UlJ6dEw1TnJZdE1UUlVhbVphRkJaRGxUSEd5dE5jM0RpdWl3Y3o5V3U0dUhHYVptOUxoZDlDTExXUU5weTR1eHkyeWV6U0hqQ1FtdVJpdUxReEFBWFVkcGl0NytYbXFkdDQ2dEpqakZYbmVQV0JOK3VTdzJlZStEQnI3VVY5THVONXhzSUhCYU5aaGRSWWFtalRrV2x4K1IwQS9md3pIK0hyWnovN2dsbkxncE0wOVVYdlZQbzArS0d1UFVnNmNvSWlSNWltb3pXSU9aSTBqS3FkaU5XS0dtVVZYSFBMT092ckhaYk9kckZ5bDZuZE5hWW02bHg2dmlIYlc5cjdsd0V4QmRTeEdhMk9Nek84bDdNclQrQVdBV1BWV1M2dVAwKzczeVJYM3BzUjUxSXJ5VU5yQUhvQlVOVVpCcWxBNFgxQllIYW8raVA4d0cxdklXbzErTnJDbDlsb3J6UGtEZkZkMS8wd2dSdndGOS80TC9yTW9oWEkwOG1TNUhjbUpQbTFEUFJxRFAzL0E2aGtNUDBHMHJnUzhYaTdqdFhDMDlBUFUyS0thOHRBZ1ZSSkpwQnJScFNhZWlDYUNQRDZjT1RzdVdsSWwxTTdtekZ1NkRJOFVhRzltYkYrTWRLaEF4a2hsMzY5VWZaOVNrR0ZhOFp1WUxPN1FMZmYwcEN5M2w3VnhKUUpvTUo3dFFUTnlRWTF2VlJOTXM4a25GU1RrWUpxK3ZIR3ZSeHVuSHN4cjdyMnpUeDE4Y3RjMkRoRHR5K2hLR084dnB0N0Q3Nk9iNTkvbU9lWG45SG1vdEl2aWNzNmYyREdkelREMndLb3hlR3BsL0hqdCsrUTVjVkN2M0h1YzRxOEVRQ2twdC8rUUVhQjJlWnpBcFFCVkxLOUdZblJ4S1M5RzlNWjFJYVcvSGZhUk11WXVTNmd5RElXenJiVmV2WmNPOHJhbFlTa0tjMDdrOTJGTnBtT1pLQ1ZXajBjNCtiNXU5bm9MUFBVaGE4U0pWMGRRbEFhSlEyMDNMUjExZDIxMnlsMHlUS1dxbGE1WGV1WnhPcTRKVjUzNk0yTWxTWjUvT0pYV1doY1V2Vk1wQjdmcTNKZytIcm1SdmJ6NVJOL3BUcXNSbE1aZXJNTm9QSVpUWGZVVjR3T1Q3Nk1IN3Q5aDlMendXYyt5amZPZjI3UUdiUkpva0FiYXJiV3gyS0JBdW9BS0xFUXFZK0Z3bWkyTlFBTGNNWktUUTlHdWFuS2VnV2o4NjVhMy9LRnJnNHhsT28ralExd1pWWEZEWTExeXN5UjhGRExqRUlxR1plRDFNT1Rka1NzNUY1S1hYbHZaUkxidkZPc2N0RHJrb2s5YlIrTFhpZEN5MEN0cjRmRC9Mc2pQOHBXWjRYalY0NngwVm5SS1R5cDhWMG5aSGQxTDlkTzNjeFhUbjFtMENDVTc2RjZIekxmc1Uzb2hXcEpzcjV4OGk3Ky9kRmZ2SHBTZXZENFI5VkNEWG1WYkNZUDU1Tmwwbm0wTlpOcm1TbDFkV3ppcER5WVRHb0lvRnBkYUw5RnVLQktVQVA1VEFKOGhsY3JHSm9wMFduS1JwcW9WQUZiNnlsK0xuVzdFSHBaVURBMHhueHdBWFJiUXNzUjVVWEJGR0VrR2JRbkJGUVZRUVRNUWp1MThqV1Rpa210MUZob29YT3FNRkdaNHMxSDNzS3BqYWQ1NnZJMzFlS2xZcExNN3pzbERzKytoTjNEdTNud21mOUduSFVHbEJIZFBCRXQySEZrRkZ6Q2txK3M0Y2FwTy9tUkY3MTFaMEMvZWY3ekwvU3R0ek9hOW9wVWRKVlNVK3A0V2NsT2lHT3hGbmxJc1ZCRG9zMUx4bStNNUtWVVMyeElZaHdKbzd0S2pNMldhS3lrckYzcUlhUkFZcldBS1IvU2t5U29pbzZ4QU5WZkJpTHZka3ZDYUFZQzZEWlBOTlJJd1pQNDZlYWtFdmRrWkZMSmlUVEp4RlZ6SnFwVC9NQXRiK0dSODEvaTR1WnordTljUE56Q29oYU1jdHY4UGZJN0hqNzFlZEtpcTFxRkdkdVJMbWt3NE1pK2dpcVpYalRVSDdyMTU2OE82RVBIUDhvM3ozMWVTYlVaNFRhVHg4WktER25mdGs3aGdaSE1uRXQ5clVRN0l4RVNyS1dnV0lrdXhSaDNrWXBGeG1PazRwRDRKZytmR0hKdFNVVWtKYUJPTzV1SllsUE5hRWR3ME5JVmR6ZTZnUTRkcUY1Z3JGVkNpcEU5akx0TFBoVkFjNW1za1BrQ1c3cXF3NnBIOU9NVzljb3diN3I1Si9qQzJiK2owVjNCem5JODZYaGFQdE8xdmR3NmV4Y3JyWXQ4Kyt5alN2RWtLVyszemlXdVN6Z3l0RTQ4eWVXR3lkdjVvYU0vZDNWQXYvRE1SM244NGtNdldLakVPOUV5TmVqcnhFU2hyaVpBeWt1bkt1S2NPREV1cUUweWlaMlNETVRsWlU5ZDFYNmpCS25CbVNiNm9GZ3d0emRJZ0pjUEt5ZHVpOUtrdXFONGhERDFnandSUUFkTnMyeDdOR1o3NE1DTTJJaWdvOW5GRlhjWEVWeld4cUZTcmxLdjFpbUhBYXZOZFYzOS9xN3JmNUJuVjUva2N2dUMxdThWcDB6RnFiSnI1QkQ3eHcveDVMbXZjbW45L0F2OGMzdjhVV2lkcWVMRWUweEpMQzcvUTBmL3o1MEEvUWpITG4wQlQxWUJ4VVVraG0zWEhPTHFFaStqbEg3ZkFCckZZcVd4Y1gwQlZNcE5xYXZGVXNRS1pjRkxrNEtFQUdNeFJrSWExQWpXTnFEeVFjM3BhNmRWaHcxRTRMVTBmSmoxUlRNQ2sycUR6bmlGcmlSb0ZTUDZweXhteVNLRW1TR1FXU3pwMHM2TzdtTXJXZFlSSHlscjExb3J2SGpYUzNuUjdGMzg1WW1QME04aXBzTXA1dXA3bVJzOVNMZlg1T216WDZQZGt3RUxNNGFnTXEwOW1OSVRuaXdKeVpZUTRISGo5QjM4OE8wN0FQckY0My9Hc1VzUGZVZTFJa0tCR1l3UzY0d2xia1lKdlY2ZmJwVFFqMkw2ZlpuMk5VTUFvb1VxMWRCQ1lBQ29JNEhjV0l3K3JESFBnV0pqV3RVeVFDRVpWZ1ZtY2ZQQ3hzMGNYUndRVjM4aFRvdkFMSlBHOG1lNWNOOVV0VnNGMUxISTVNQmNvVGV5LzJSV2VYWlBYa00vYTVyL1JuWklvZzFHeWhQOGh6dmZ5ZG4xcDNua3pCYzF3eCtadTBNSEg4NHNuMkpyWTNrZ1JnK1NnTFIrQm9sSWVLaVFlaDE4Y3h4dW1MNkRIM25KRGpIMGk4LytHVTljZnRBTWFzbklvcnE3cFEyck5NbUpJaGs0aU9qMUlycTlXTCtLdGNvclZndU5OY2JLVWtJcERPbGxIUXBIdG9qTktSZHVaZ0RVK1V3RHFuSk9EZmErR2Z1UjRrR0VETEZPbVJwV0RYU1FoQVk5Y2kxeGhmdEs0MjJ3RkNFV0tmcW43SVNLaGNxbEJSSlA2K1ZocnBtK2tmWCtBb3ZOeXhxM0JiaTUrajUrNk5hZklTcDZmUGFaVDlEcnRQVlF1LzAyV1N4bHJhR3cyL1doU1pTaW14cHAwWFZGczNXNGFmWk9mdXhsdjNCMWwvL2lzeC9teVFVRHFDZFg5MmdMMWxaQTQ3Z2c2c2YweFRxN0lncWJyd2JRV0VlK1pkUlBTc2NqaDQ1U3JZd3FyWHI2N0NNMG9qV2xIUEtnMndGZXE2SEJ5d1I0bVMxeUZWUzE0OHpTK1B5ZG1WM0EzYVp0bXZ4RXFoc2NqS3k5U0ZqUlFXRlBoR2J4Q0RsYlUrbUpRQzdyZVo1czdxazRBaVBCRkxmdHVZODRYZVBzNmtuYW5ZNWhGVm80Q0drUWhXb2dURzgzNlRTN1M5dzMzblJrL2k3KzR5dmZ0aE9nZjhhVEM1L1RMQytyMWZJWkphMWtTVUhTeStoSHFWcW1LT3k5VmtTbjNhUGJqK24yRTIySkNLRDc1NjlubzczR1dtdWRtM1lmWm54eWtxK2QvaUo1RnVGNFJrMlNJVnFaUnBGZlM0OUt3TlNYYUpKaWFpTHlwMmFEUkVDVTJDMTF1MHFEV3FHWjFyR0psZHBlME9zMmxDYjVabDFITEZUSHNzemkyd3ZMRXVxNjBoK1RTUmc3RU1ZdUFoNnVXTHBNSnVldWRuRTFlV3FqeWdndFFuWEVRdVhOSkducW0ySnp5KzZYOEZQMzdhQ0hmdW5FSC9QczZtZVlHcC9Fc1VNMk54dTY5cWVVcUovUjc2VjArakdkWnBlb0hkRnA5ZWhFNXMrU3BLOGd2UHoyKy9qR3MvOUVNKzVRTGdXOC9OYlg4ZVQ1cjdMUlh0WUZMM1YzMTF4WUpmS2RKQ0tSd2h3ck1CMUpIWVhSb1dkdHBRaVlacFJ3b0J0SUMxVCtBODNvUXJqbFRoTFpBcGZ2S2RhWmFleVVTZWxCTzh3c28wbFFsZEpUQVpVaGJGdHZleENRTkZkS1BwT2hMdG53bEwxNGFlMllzVkxUblpEWjB1MXNKeWNralpYQzV0YTlkL0d6YjloaFQrblJTNy9LaWZaSHVXbjJaa0k3WUd0eml1UG5MaE5wL015SnVqRmRlYlY2dExjUytyMGVYWW1qa3YyVG1IcGxsSnNPSE9YaHB4NGtGc3BrRmJ6aXR0ZHllZlVVQzV0bmNRWVR5Wko5WlU1Zko0Z0hsWkVSZmowRlZOcTNZaVV5QmlPQVNvYmY3bnlxNkN2RHM3SjRJQzR0UmhPSVZRNnNYVjErZTcxbnUzb3liWXR0dWlaZ1Nya3BoSDU3cU5pUmxSOVJWV1JoUVR1ZU1pTXFGWTNFY3RNQk5aT0ZPc05wQmoweU9McnY1ZnpDOSs2d1BQdmd1YmR4ZXV1RDdCMmRZR3BvamxKd0YvLzQ5VFAwK2dtOWZrcmNUVFJ1ZGhvSnJjMllPTzNxTlJtUjdQSWtNUk9qczl4NDREYStjdXp2NmN0bFVwYkZQYmUvbGd1THgxbHFYY1QyekFTZmhoU2xabVk4VzZ4V0U5RkFQVGNQSXdXU2xMYi9ES1lBckFNVWc0cElWc0Vsak9ETEFvWDVmZ0t3dUx0Um04em90Rzd4YlF1YWVubVpoRE5ITi90ZVNKSzZLR0wrekFBNmNIZGxPUEtCRE50VHZWbEZJcm5FcGVEb3ZudDQyNXQyV0ZyNGgvTnY1L2phQjVrWjlwa1kyb1ZsalhIc0NaOXVOeWZxRjhRZHlleXgzc3ZVYnZlSll0UDZWWktmeVRKQ2lWZS81Ti94NkZOZlliMjFvRU8wZHh4K0tVK2NmSVNPYk9McGlyYTRwZ0FxUEU2aWtXUjRNWVRCRUlIV2ptSXBsbElrRVVTVTMrb1ZhNE01VktWSGhUSVJZNkh5MWV3ZWljVUpIOVZDUWhjb0JrbGxNQnVxbys0NnAyem02ZFgxSmNsbzMxNFhBelNHUy9kQTRxZDRoKzRvYUdBMzR6bHlyaEtTNU90dDE3eU0rOS8wbTFkUFNsKzY4SFlXb2s5U3NmdlV5bVcyR24zT25kdFAxQXVJdWdsNVZOQ1I3TjV4NkhVVG9zUUFLc1JlaGVRMDVmVXYrMTlaWEQzUHNmTmZaMnhzUWdlL05wdkxaazVLQVpVOElBcVdaRnJUMXpGenB5WnptaWxKQTZnU2V0bkVrSGFLeUlJcUQwck1OTnNoM3dtb0hKQlo1VEYvTDREcXY1R1NWRVdhd2V5SGxMdXlrVElBMUpQUG9OS0ltck1wS2pMUmUvL1pRbFcyRkFGR2xobUVyb2tnSTlzMWVjSFJQYS9tN2QrL3d3VHpseSsrbldOTEgyQkNsd2s4dlhIcjhybHI2WGQ4NXVkNjNISHJFVTQ4MCtmaHIxNmszMDlwdHRhSTVYSTlxYk8xbjUwd05iNlhPNDYrVWtjVVQ1OTlrdE5YbnREcEROc2J1TFlqdHpJTXJFbnBpMW1tRlVIWlpCRnhKNGxScHR6VjJTbmRzNVNXc0JsNmxTRUlpY2RxNWJLajR4WDZhMDFHMnBUZDdpYUpVUTNtQkhPWkRUVmRCUUZUam01N00wVTZxM3FCVm00cmJkTkRVUTNYS0ZYbTJlUTVMUXFWTGVYMlNPblpGOXgyemIyOC9mdDJtTEYvNk1JdmNtejlUeGxHYnAzeFdHOUVuRGw1RFhsc2NjdlJCdlBUazdRMlozbnM0Ukc2blE3UG4va0dxVGJuNUhPS2E4cmdWb3J0QkFUbG1sNFdJTHZxb2lXS0dackJYZWxUU1hWa3lqY2RVbEZhSTNaaXBreFUzZElIM0JhMEJ3TVZnMWFLV0tlS3ZRSm80R0dKeGV1UzJmYnFvUUhDakQ2WVNWWnpLT0xDOG43bUhqemRQWlhGQlJWaHBOdHA0cWllcTJPV2NsVjRrV0ZpNmF2aGtrVkM0VVFvVW9maGxuMHY1UjA3WFRQMDJPSzdlSEwxUTlwZW1Cb2RwdHZvYyt6YlUxeC9vTVQ4dnNzRUVxOTZkMU5wL3lqZmZ2SmJITC80RFZxdFZYcFJRNit1a0lhWk9LVXBNeDBWTEN3cEJRY0RydnJBMHZqVEdYMzVaZ0txOEVqWkE5VU8vQXZhZ1hZTU5GRVpVSTNUQ1pIUDlMWXorV2Vhb1gyNWdzaElmYnFVcTVPRHBwK2tmVVZkZnpIajY1S3AxZUxOSnBhT1M1cjFHc2xrR25qTjFVVGEyMCtVZjJzM2Q3dnI2WG1EU1VPMGxTTXg5S2E5OS9EMjc5M2gzcWJQblgwSHB4c1BNRlgyQ1BRT0Q0L0hINytHNitZUE1GVEpxSSt2Y00zb1QzUDYyNmY0cjEvNFk1cE9YN09kWnIyOC84SmdtRlFuQlBMNURMZ1NzeVNiZWpMbnBCY3lEY3hTUndhbDN5OWpNK0w1L3d5bzJidmNmcGlCemltdUlMUDlRcGVVVmtxQ2MvWENMRFBHdm0zNXBvc2xiRUxXQ3JNazAvdERlMUs2Rm9tQ2JLVkdNOWcrQ09YQ1VoOUw0aGxjSlNRM09TaWdjcXlpc1lyM3lkOUxKYVhxVzg1TnUxK3pNNkNQWG53WEp6WWUwRGYxL1JLN3czc1l5bjZDa3JlZjRaTEx4dkszMlRVN3hhZi82bjRlV1g2ZW5xQ21OQ00xMWlUYXFaSm9VWDVNZzB6SXNMaUxrSGhmUnNQRi9WVEMyWjVPTVhwaklTOUpvWU1XdFcybWRVMUNrVU1ZWFBFajhWWUtBOG5xS3RGSnBTVXVyL1AvWnVUU3pFUVZCSU80Mm1wMXFRUUJXNzJ1RG1MS0Fjdm5GcGMzTzFRRGpybzlzYTJxdEdrN0Y2bndZa3YxM0ZpSGk3Y1h2d3g3T0xMdmRkei9QVHRjMWZiWTViZng5TWFIc2RLVWVxM01UZVczTWxQN1FmcWRCdWN2UE0zbSthK1Q5eTd6NExNUHcwR2I3bnBJdlRaQ3E5RlFVVmdxRnJPTkxHNm10MzBNT29SRzhwSWFXZnIya2lpMGNoSDZvdGYvU25nd0V4c1M2M1FEZXB2emJjOTJxalFvMzd0UWViRlVMYW40S3hZb1d5UENTZXZsc2pLRFhpVDlyRXpuOHFWYWs1dHQvZEJuZFdQVGJOUnBNcFN5VTY0bnlrMlhSSWR5WlFsWFNscTU2Q3BYOGk5RTM4cUYwakhZaWNwcDlUcURHU21IV3cvZXgvLzFYVHU0L0ROcnY4cXhsUTh6RW9iVXkzdnd6OStMSFllc0xaem4yUlBIT1BiNEV0TjdjaTVNYlBHU1Y0YVUrbnM1ZTNhTDlXWlRLeDlWbEFZRHVuWXVOMzZaMktaak43Skl0cjJGSnVIZEtxbENyM29wSW84SnVSZlZQOUtrVVFsTGhzcW8waThQbGJIWmpCQys0dnF1cm9GWGg4cHN0QnFxSWN6UERWSDJRaTZ0YnVyYWp4eU9XS0xjOUJaV1BhSUlHcTJXdXJzRUU4bjFaa3ZFVkxLK0grR05SL1RUUHEyR0RhMlNxdml5TlMxU1hUVjAyZXEwOGR5UWRydWovRlJFb3lQWHZZcWYrNjRkTFBTcmw5L0Y1ODc4UHBWU2lhbHl3SUd0dTFnK0lZTmFNVi82MHBOY3VOemw1aCtjWWJPOHlLdnVIdUhTS1p0blQ4dm9TaGZIbDFhd0tTZmtwR1c3VitLU3VLdFlrdnlWYkgvTG5YaXk5ZXZhY285eTJTU3l4T2lrMWFwUE81SUJXK256RkpSSzBtNlFEZVpNVjNIa2lzMTY2Tk5MRWxxZGhPSHhNbjFwWVRnSms2TU9KODdLWllTeUpXZmlvY3FENUZUSExQcTlRaThFMUxTWWlwdWJBbDdYTHkyYmlkMWROdXdPYTVzSlRzT2xtbzdKRGRBbXVaRlRDVjFpdWJ2UERXazFPOHBWcGE5MXc3V3Y0bWRmdndPZ2YvZjgyL25XOGgrUkpCNjc2eVZtNGh2cExjM29CYXRmZit3Q2EvM3p2UHduOXhBTXIvS2lXMEpPZlR0aThaeERrU1Y2QmFYY1ZDc3VYYWxWaU9KQm1wVkJhQWRLdmtjNUNCR0ZUT0tTNTFoVTZtVnMzNkhUNkxCcnZFWXZMMWhlMzlMWUpPQ1g1RzZrcWswejdqSTZXbUZpcU16aWhUYnJHMzBjSjJSa3JJSlRTYW1QWkZ3NDJhWFppWldteVp5KzlzVmt1VXR1U0hPMzZNWVpUdCtuN01qTnVUYWJXekk5YmRPUysreVVQc0hJZEoxR3EwOHBkZGc5TWNucFMwdllvUmhCcHJlT1QweVc2V3k1OUZwZEJWTUdqMis0N3RYODdPdDJBUFNoYysvbTJNb0gyRnpQR1M3bW1acmF4Nmt2MW5uc3dTZTRmR0dENmkwV0wvbmVhUTRka2VIWUt5eWRzcmx5SnRSNmUyVFNZWExXcDlHTVdOOXNrMFppbVhMVnFTaEpjdjlJd0VpOW9weE94bTdpdnBuREg1a2VKdThtMUtzMkY2OTA2Q1N5UkpickpMSHJXM2lqQlJjV21zenRucVlhV2l3KzM5S3JmcW9WdWJlMFRtMENyZFFXVHNrb3Q1SHdnckxEMktSSGJqdTBHd2xYMWxkMHdubTZYR0Z5cU16YXhvWmVoRkF0bFdrMVlrS3Z6TnBLajRuWk1RbzdZdmR1bTI2K3lacUlQLzJZVnFjZ1g2K3dhNkpNSy9ib2IvUXBrcHk0bjNQNHlCdjQyZS82ZzZ1WG5nOWZmQmVYNDA5dzZVcksxNzd1TVhXb3hIaDFqb2MvY0o0TEY3dnNmMDJabDcxMm5zcHdBOUxMdXNIUmtkc05XeVBzT2pSQzAybVM5TG9zSHQ4aWozM0s1YXJlRGU4T1Jsamt0b2I1ZlNYV3IvUll2NVJSS2x1VTVxclVTaFlyQyt2MGxmZEpuV3cyOW9KYVFkK0xPWCtweWRDa3pmam9KRmFyVEh1dFM3MmVNYmwzVW0rSVhENjdTWjVFVk90OXZWQm1iSHlHcnRNZ29jZmFwWmpsaFpSMEtPTEd2Wk5zbkZtbDM4OXdBOWkxZTVSYUVYTHE2VTNpdE16b2Zvc0R0OG82VHNIRjFXV2EwcENNcFdkbTRXOVZDS05SdWxJZ2JQWTFOOGp3eGkwSDM4aFBmODkvMmFHV1AvTkwvTVBwUCtEU2lzWFRUeVpjZjdoR3JXcHVQSGpxOFJhemV6M21ydGxEdWJwQnR5VzNiZGZKMmhaRFRsMHJvTE1yWFNxakJlVTBvVnB6c0JLSDVvcHNhVWp0R3hKNUJkUFhWR2xmNmVKMjVTSUJxTTdJZGVRWmF4YzJkWW91eXp5ZDJ2T3JPVmNXbTJ4MVkxYldFOXd5VE0rVUtmazJlY2ZCelgxS2sxVmtQemR2YkJMSmZVcVNiaUtQZXJYRzRrYVBydHVsNW1lRWprVXFOenQyQytMTmpIYVUwVzcxbWIxdWlHcHEwejJmRXd4YlRCMzE4VXMrcDVjdnNOVVQ5ZDVtcEZKamVpaGdmVFhsOGtsd3dweWdJNFZJU0pUbHZPalEvOExQdkdHSExQKzN4OS9EdDFiK2dpdnJiWnplSExuVFkvZk1PR2tTY1BMQ0dWMFNxSTdORTNjM2lkZWtoQlIzYmVOVUtreE85RmhNdDVnYm0ySmpKU0hxYkhEcnJmUFVnbUdlUFgyQ3FGMnd2SlV3TkZkbkxCakNsNXRtZ3BUUitWM0VqUWE5L2hLVmtrM2RHV096RTlBaFltVnBrMlpEYnZ3dU1WR3Y2Y1ZhSW41ZnZMaEM1blp4cTBQMDVWNjZka1J2M2NQU0s5OGRxbVVQWjFkREwrUXVXWFV1WGJqTTlHU1ptMjg2eU5PUHIzRHkrU3NFY21mVXRNdjB5RGhWQ1RGZVJIbDNnR1dIWEY1L25sb2cxMmE0MU5KWmxwb04vRENpc1pqU3RTTHFzdVhjcTdDNDNPWEdQZmZ4dmgvKzg2dGI2TWNlZXplUFhmcTRLaTQvL1BwWDh0QVh6bEdmSHFmVDJ1VFNjd25WZlczT1h1NXk4dEUxUnVzK3UzY1BrYTQ1clBmN3pGeWZzOTVPcUJkMTFoZTdyTWlsMGJXQWw5dzZ4WTIzVlhuNnpBS25UOGFNemdWTURNdWtjSjh1T2FYYU5FSFJwZFVFdStzdzVKVkozSlN0dUlNZlFCZ1dYTHRyTjdIY2ZuT2x6L2kweCtrbjI1UkdFNXBGbHhOZjJ5VGFzSmcvV0dheVhPUFM2UTZqQjFMc1NwdCt1MGJhOWptL2NFVnZIYjl1ZnB5N1g3R2JNNWVXT1hGK2pXRFlZOWRNb0ZkeDlMc0pYcVZNcGVyU2FyVEprd3EwUGNiSFFzNnNOQmlxcDR4VmJLSWlacjJ4aFp1NUxGNUl1WEg2TmZ6NmorMEE2QjkrOXAzODllTi93TTNYVC9QamI3eVQ0NWRYYVd6a1hHcTBlT3BUQ1VkZTZmTElWNWE0ZUN5aU1semwyc01WRms3MldidlFaM3gvU05USW1haTViTmhiYlBSUXFyTnhNZUlWYnhqbWU5KzRtd3VyS2FjdU5EaDRZSlpubjcxRTEyL2loVFUybGh1RVNZVks2dW8wNXRCOG4wenVXclpHV1Y5WjV2dSsreENWWVovTHl5M1dHajB1UFc1akp6MzZZY3hqbjE0bmFWbGNjMHZJU0szS3R6Ky96cTZEVlJyTkxxSHRVeHROT2J2U0pwd3AwVDJYVUpyS2VNdFBYeWRIeWZubFRXcWpRMFM5SHFmT0wxQ1pyTk5jNzVLMk02cDJEU2RKcU85eTJFemJ6STVmdy9QUG5NTU5Jc0s2UmFYa0VickRPQnMzOER2Lys4ZXVicUV2RENQOTJ5Lyt4UWdJMWZ1My8vM1B2eGkybmYvQkM0Q2VPbldxR0IwZC9SLzRyZi9uL1ZhYm01dFk2K3ZyM3pIaSt6OHZHUCtqbnZ6L0FjbVlOTEpEcGdrK0FBQUFBRWxGVGtTdVFtQ0MiLAogICAiT3JpZ2luYWxVcmwiIDogImh0dHA6Ly93d3cudG9wc2Nhbi5jb20vd3BzL2luZGV4Lmh0bWwiCn0K"/>
    </extobj>
  </extobjs>
</s:customData>
</file>

<file path=customXml/itemProps1.xml><?xml version="1.0" encoding="utf-8"?>
<ds:datastoreItem xmlns:ds="http://schemas.openxmlformats.org/officeDocument/2006/customXml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目录</vt:lpstr>
      <vt:lpstr>温度记录</vt:lpstr>
      <vt:lpstr>基础底板</vt:lpstr>
      <vt:lpstr>部位1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柳羲</cp:lastModifiedBy>
  <dcterms:created xsi:type="dcterms:W3CDTF">2019-05-02T06:37:00Z</dcterms:created>
  <dcterms:modified xsi:type="dcterms:W3CDTF">2022-08-09T07:31:12Z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  <property fmtid="{D5CDD505-2E9C-101B-9397-08002B2CF9AE}" pid="3" name="KSOReadingLayout">
    <vt:bool>true</vt:bool>
  </property>
</Properties>
</file>