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9210" yWindow="5625" windowWidth="9210" windowHeight="6555" firstSheet="3" activeTab="3"/>
  </bookViews>
  <sheets>
    <sheet name="配置" sheetId="5" state="hidden" r:id="rId1"/>
    <sheet name="个人配置" sheetId="8" state="hidden" r:id="rId2"/>
    <sheet name="年历" sheetId="7" state="hidden" r:id="rId3"/>
    <sheet name="月历" sheetId="1" r:id="rId4"/>
  </sheets>
  <definedNames>
    <definedName name="本年各节气时间列">配置!$AF$1</definedName>
    <definedName name="本月节气1">配置!$B$29</definedName>
    <definedName name="本月节气2">配置!$B$30</definedName>
    <definedName name="查询日期" localSheetId="2">年历!A1048576</definedName>
    <definedName name="查询日期">月历!A1048576</definedName>
    <definedName name="当年正月天干">配置!$N$4</definedName>
    <definedName name="地支列">配置!$Y$1</definedName>
    <definedName name="地支年">配置!$K$3</definedName>
    <definedName name="地支月">配置!$M$3</definedName>
    <definedName name="节气初始时刻">配置!$B$28</definedName>
    <definedName name="节气跨度">配置!$B$27</definedName>
    <definedName name="节气列">配置!$AC$1</definedName>
    <definedName name="节气时差列">配置!$AE$1</definedName>
    <definedName name="节气时间列">配置!$AB$1</definedName>
    <definedName name="每日所占的行数">配置!$B$46</definedName>
    <definedName name="每日所占的列数">配置!$B$47</definedName>
    <definedName name="每月天数列">配置!$T$1</definedName>
    <definedName name="年干支地支偏移">配置!$L$3</definedName>
    <definedName name="年干支天干偏移">配置!$L$2</definedName>
    <definedName name="年历一八月开始的行">配置!$B$77</definedName>
    <definedName name="年历一八月开始的列">配置!$B$76</definedName>
    <definedName name="年历一二月开始的行">配置!$B$59</definedName>
    <definedName name="年历一二月开始的列">配置!$B$58</definedName>
    <definedName name="年历一九月开始的行">配置!$B$80</definedName>
    <definedName name="年历一九月开始的列">配置!$B$79</definedName>
    <definedName name="年历一六月开始的行">配置!$B$71</definedName>
    <definedName name="年历一六月开始的列">配置!$B$70</definedName>
    <definedName name="年历一每日所占的行数">配置!$B$51</definedName>
    <definedName name="年历一每日所占的列数">配置!$B$52</definedName>
    <definedName name="年历一七月开始的行">配置!$B$74</definedName>
    <definedName name="年历一七月开始的列">配置!$B$73</definedName>
    <definedName name="年历一三月开始的行">配置!$B$62</definedName>
    <definedName name="年历一三月开始的列">配置!$B$61</definedName>
    <definedName name="年历一十二月开始的行">配置!$B$89</definedName>
    <definedName name="年历一十二月开始的列">配置!$B$88</definedName>
    <definedName name="年历一十一月开始的行">配置!$B$86</definedName>
    <definedName name="年历一十一月开始的列">配置!$B$85</definedName>
    <definedName name="年历一十月开始的行">配置!$B$83</definedName>
    <definedName name="年历一十月开始的列">配置!$B$82</definedName>
    <definedName name="年历一四月开始的行">配置!$B$65</definedName>
    <definedName name="年历一四月开始的列">配置!$B$64</definedName>
    <definedName name="年历一五月开始的行">配置!$B$68</definedName>
    <definedName name="年历一五月开始的列">配置!$B$67</definedName>
    <definedName name="年历一显示星期头">配置!$B$53</definedName>
    <definedName name="年历一显示阳历日八月">DATE(选择的年,8,1)-WEEKDAY(DATE(选择的年,8,1),星期开始于顺序)+1+(COLUMN()-年历一八月开始的列)+((ROW()-年历一八月开始的行)/年历一每日所占的行数*7)</definedName>
    <definedName name="年历一显示阳历日二月">DATE(选择的年,2,1)-WEEKDAY(DATE(选择的年,2,1),星期开始于顺序)+1+(COLUMN()-年历一二月开始的列)+((ROW()-年历一二月开始的行)/年历一每日所占的行数*7)</definedName>
    <definedName name="年历一显示阳历日九月">DATE(选择的年,9,1)-WEEKDAY(DATE(选择的年,9,1),星期开始于顺序)+1+(COLUMN()-年历一九月开始的列)+((ROW()-年历一九月开始的行)/年历一每日所占的行数*7)</definedName>
    <definedName name="年历一显示阳历日六月">DATE(选择的年,6,1)-WEEKDAY(DATE(选择的年,6,1),星期开始于顺序)+1+(COLUMN()-年历一六月开始的列)+((ROW()-年历一六月开始的行)/年历一每日所占的行数*7)</definedName>
    <definedName name="年历一显示阳历日七月">DATE(选择的年,7,1)-WEEKDAY(DATE(选择的年,7,1),星期开始于顺序)+1+(COLUMN()-年历一七月开始的列)+((ROW()-年历一七月开始的行)/年历一每日所占的行数*7)</definedName>
    <definedName name="年历一显示阳历日三月">DATE(选择的年,3,1)-WEEKDAY(DATE(选择的年,3,1),星期开始于顺序)+1+(COLUMN()-年历一三月开始的列)+((ROW()-年历一三月开始的行)/年历一每日所占的行数*7)</definedName>
    <definedName name="年历一显示阳历日十二月">DATE(选择的年,12,1)-WEEKDAY(DATE(选择的年,12,1),星期开始于顺序)+1+(COLUMN()-年历一十二月开始的列)+((ROW()-年历一十二月开始的行)/年历一每日所占的行数*7)</definedName>
    <definedName name="年历一显示阳历日十一月">DATE(选择的年,11,1)-WEEKDAY(DATE(选择的年,11,1),星期开始于顺序)+1+(COLUMN()-年历一十一月开始的列)+((ROW()-年历一十一月开始的行)/年历一每日所占的行数*7)</definedName>
    <definedName name="年历一显示阳历日十月">DATE(选择的年,10,1)-WEEKDAY(DATE(选择的年,10,1),星期开始于顺序)+1+(COLUMN()-年历一十月开始的列)+((ROW()-年历一十月开始的行)/年历一每日所占的行数*7)</definedName>
    <definedName name="年历一显示阳历日四月">DATE(选择的年,4,1)-WEEKDAY(DATE(选择的年,4,1),星期开始于顺序)+1+(COLUMN()-年历一四月开始的列)+((ROW()-年历一四月开始的行)/年历一每日所占的行数*7)</definedName>
    <definedName name="年历一显示阳历日五月">DATE(选择的年,5,1)-WEEKDAY(DATE(选择的年,5,1),星期开始于顺序)+1+(COLUMN()-年历一五月开始的列)+((ROW()-年历一五月开始的行)/年历一每日所占的行数*7)</definedName>
    <definedName name="年历一显示阳历日一月">DATE(选择的年,1,1)-WEEKDAY(DATE(选择的年,1,1),星期开始于顺序)+1+(COLUMN()-年历一一月开始的列)+((ROW()-年历一一月开始的行)/年历一每日所占的行数*7)</definedName>
    <definedName name="年历一一月开始的行">配置!$B$56</definedName>
    <definedName name="年历一一月开始的列">配置!$B$55</definedName>
    <definedName name="农历初始日期">配置!$B$17</definedName>
    <definedName name="生肖">配置!$K$4</definedName>
    <definedName name="生肖列">配置!$X$1</definedName>
    <definedName name="天干列">配置!$Z$1</definedName>
    <definedName name="天干年">配置!$K$2</definedName>
    <definedName name="天干月">配置!$M$2</definedName>
    <definedName name="系统误差">配置!$B$22</definedName>
    <definedName name="显示八月">INDEX(显示月份集合,8,0)</definedName>
    <definedName name="显示二月">INDEX(显示月份集合,2,0)</definedName>
    <definedName name="显示九月">INDEX(显示月份集合,9,0)</definedName>
    <definedName name="显示六月">INDEX(显示月份集合,6,0)</definedName>
    <definedName name="显示七月">INDEX(显示月份集合,7,0)</definedName>
    <definedName name="显示三月">INDEX(显示月份集合,3,0)</definedName>
    <definedName name="显示十二月">INDEX(显示月份集合,12,0)</definedName>
    <definedName name="显示十一月">INDEX(显示月份集合,11,0)</definedName>
    <definedName name="显示十月">INDEX(显示月份集合,10,0)</definedName>
    <definedName name="显示四月">INDEX(显示月份集合,4,0)</definedName>
    <definedName name="显示五月">INDEX(显示月份集合,5,0)</definedName>
    <definedName name="显示星期集合">配置!$AW$2:$AW$8</definedName>
    <definedName name="显示星期列">配置!$AW$1</definedName>
    <definedName name="显示星期头">INDEX(显示星期集合,COLUMN()-选择月开始的列+1)</definedName>
    <definedName name="显示阳历日">选择月首周首日日期+(COLUMN()-选择月开始的列)+((ROW()-选择月开始的行)/每日所占的行数*7)</definedName>
    <definedName name="显示一月">INDEX(显示月份集合,1,0)</definedName>
    <definedName name="显示阴历日" localSheetId="2">IF(年历!显示阴历日阴历月首&lt;&gt;"",年历!显示阴历日阴历月首,IF(ISERROR(年历!显示阴历日阴历初X),"",年历!显示阴历日阴历初X))</definedName>
    <definedName name="显示阴历日">IF(显示阴历日阴历月首&lt;&gt;"",显示阴历日阴历月首,IF(ISERROR(显示阴历日阴历初X),"",显示阴历日阴历初X))</definedName>
    <definedName name="显示阴历日OffsetX" localSheetId="2">IF(年历!查询日期&gt;阴历下下月日期,年历!查询日期-阴历下下月日期,年历!显示阴历日X)</definedName>
    <definedName name="显示阴历日OffsetX">IF(查询日期&gt;阴历下下月日期,查询日期-阴历下下月日期,显示阴历日X)</definedName>
    <definedName name="显示阴历日X" localSheetId="2">IF(年历!查询日期&gt;阴历下月日期,年历!查询日期-阴历下月日期,IF(年历!查询日期&lt;阴历月日期,IF(年历!查询日期&lt;DATE(1900,3,1),30,29)-阴历月日期+年历!查询日期,年历!查询日期-阴历月日期))</definedName>
    <definedName name="显示阴历日X">IF(查询日期&gt;阴历下月日期,查询日期-阴历下月日期,IF(查询日期&lt;阴历月日期,IF(查询日期&lt;DATE(1900,3,1),30,29)-阴历月日期+查询日期,查询日期-阴历月日期))</definedName>
    <definedName name="显示阴历日阴历初X" localSheetId="2">IF(选择的年&lt;=1899,"",OFFSET(阴历日列,年历!显示阴历日OffsetX,0))</definedName>
    <definedName name="显示阴历日阴历初X">IF(选择的年&lt;=1899,"",OFFSET(阴历日列,显示阴历日OffsetX,0))</definedName>
    <definedName name="显示阴历日阴历月首" localSheetId="2">IF(年历!查询日期=阴历月日期,阴历月中文月份,IF(年历!查询日期=阴历下月日期,阴历下月中文月份,IF(年历!查询日期=阴历下下月日期,阴历下下月中文月份,"")))</definedName>
    <definedName name="显示阴历日阴历月首">IF(查询日期=阴历月日期,阴历月中文月份,IF(查询日期=阴历下月日期,阴历下月中文月份,IF(查询日期=阴历下下月日期,阴历下下月中文月份,"")))</definedName>
    <definedName name="显示月份集合">配置!$V$2:$V$13</definedName>
    <definedName name="现在分">配置!$B$11</definedName>
    <definedName name="现在年">配置!$B$7</definedName>
    <definedName name="现在日">配置!$B$9</definedName>
    <definedName name="现在时">配置!$B$10</definedName>
    <definedName name="现在月">配置!$B$8</definedName>
    <definedName name="星期别短中文集合">配置!$AV$2:$AV$9</definedName>
    <definedName name="星期别简写1集合">配置!$AQ$2:$AQ$9</definedName>
    <definedName name="星期别简写2集合">配置!$AR$2:$AR$9</definedName>
    <definedName name="星期别全称1集合">配置!$AS$2:$AS$9</definedName>
    <definedName name="星期别全称2集合">配置!$AT$2:$AT$9</definedName>
    <definedName name="星期别中文集合">配置!$AU$2:$AU$9</definedName>
    <definedName name="星期开始于">配置!$B$34</definedName>
    <definedName name="星期开始于顺序">配置!$B$36</definedName>
    <definedName name="星期名称类别">配置!$B$35</definedName>
    <definedName name="星期名称类别顺序">配置!$B$37</definedName>
    <definedName name="选择的本月天数">配置!$B$19</definedName>
    <definedName name="选择的年">配置!$B$2</definedName>
    <definedName name="选择的日">配置!$B$4</definedName>
    <definedName name="选择的日期">配置!$B$5</definedName>
    <definedName name="选择的上月天数">配置!$B$20</definedName>
    <definedName name="选择的英文月份">配置!$B$21</definedName>
    <definedName name="选择的月">配置!$B$3</definedName>
    <definedName name="选择月的首日">配置!$B$41</definedName>
    <definedName name="选择月的尾日">配置!$B$42</definedName>
    <definedName name="选择月开始的行">配置!$B$44</definedName>
    <definedName name="选择月开始的列">配置!$B$45</definedName>
    <definedName name="选择月首周首日日期">选择月的首日-WEEKDAY(选择月的首日,星期开始于顺序)+1</definedName>
    <definedName name="颜色名称">个人配置!$E$4</definedName>
    <definedName name="颜色配置名称集合">个人配置!$I$3:$I$16</definedName>
    <definedName name="颜色配置十六进制集合">个人配置!$L$3:$L$16</definedName>
    <definedName name="颜色十进制">HEX2DEC(INDEX(颜色配置十六进制集合,MATCH(颜色名称,颜色配置名称集合,0)))</definedName>
    <definedName name="阴历年份">配置!$F$7</definedName>
    <definedName name="阴历日列">配置!$AO$2</definedName>
    <definedName name="阴历位移">配置!$F$10</definedName>
    <definedName name="阴历下下月日期">配置!$F$4</definedName>
    <definedName name="阴历下下月数字月份">配置!$H$4</definedName>
    <definedName name="阴历下下月中文月份">配置!$G$4</definedName>
    <definedName name="阴历下月日期">配置!$F$3</definedName>
    <definedName name="阴历下月数字月份">配置!$H$3</definedName>
    <definedName name="阴历下月中文月份">配置!$G$3</definedName>
    <definedName name="阴历月表列">配置!$AZ$1</definedName>
    <definedName name="阴历月份">配置!$F$6</definedName>
    <definedName name="阴历月份选择">配置!$F$2:$F$4</definedName>
    <definedName name="阴历月基本循环期">配置!$B$23</definedName>
    <definedName name="阴历月开始阳历日合集">配置!$AY$2:$AY$2488</definedName>
    <definedName name="阴历月开始阳历日列">配置!$AY$1</definedName>
    <definedName name="阴历月日期">配置!$F$2</definedName>
    <definedName name="阴历月首">配置!$B$193</definedName>
    <definedName name="阴历月数字月份">配置!$H$2</definedName>
    <definedName name="阴历月指针">配置!$B$24</definedName>
    <definedName name="阴历月中文月份">配置!$G$2</definedName>
    <definedName name="英文月份大写集合">配置!$P$2:$P$13</definedName>
    <definedName name="英文月份大写列">配置!$P$1</definedName>
    <definedName name="英文月份简写集合">配置!$R$2:$R$13</definedName>
    <definedName name="英文月份小写集合">配置!$Q$2:$Q$13</definedName>
    <definedName name="月份显示类别">配置!$B$38</definedName>
    <definedName name="月份显示类别顺序">配置!$B$39</definedName>
    <definedName name="月干支地支偏移">配置!$N$3</definedName>
    <definedName name="月干支天干偏移">配置!$N$2</definedName>
    <definedName name="中文月份集合">配置!$U$2:$U$13</definedName>
  </definedNames>
  <calcPr calcId="144525"/>
</workbook>
</file>

<file path=xl/sharedStrings.xml><?xml version="1.0" encoding="utf-8"?>
<sst xmlns="http://schemas.openxmlformats.org/spreadsheetml/2006/main" count="445">
  <si>
    <t>配置名称</t>
  </si>
  <si>
    <t>配置值</t>
  </si>
  <si>
    <t>配置说明</t>
  </si>
  <si>
    <t>选择日的阴历信息</t>
  </si>
  <si>
    <t>名称</t>
  </si>
  <si>
    <t>年干支</t>
  </si>
  <si>
    <t>月干支</t>
  </si>
  <si>
    <t>英文月份大写</t>
  </si>
  <si>
    <t>英文月份小写</t>
  </si>
  <si>
    <t>英文月份简写</t>
  </si>
  <si>
    <t>月份</t>
  </si>
  <si>
    <t>每月天数</t>
  </si>
  <si>
    <t>中文月份</t>
  </si>
  <si>
    <t>显示月份</t>
  </si>
  <si>
    <t>生肖</t>
  </si>
  <si>
    <t>地支</t>
  </si>
  <si>
    <t>天干</t>
  </si>
  <si>
    <t>节气时间</t>
  </si>
  <si>
    <t>节气</t>
  </si>
  <si>
    <t>节气时差</t>
  </si>
  <si>
    <t>本年各节气时间</t>
  </si>
  <si>
    <t>公历节日</t>
  </si>
  <si>
    <t>公历节名</t>
  </si>
  <si>
    <t>始年</t>
  </si>
  <si>
    <t>农历节日</t>
  </si>
  <si>
    <t>农历节名</t>
  </si>
  <si>
    <t>阴历日列</t>
  </si>
  <si>
    <t>星期别简写1</t>
  </si>
  <si>
    <t>星期别简写2</t>
  </si>
  <si>
    <t>星期别全称1</t>
  </si>
  <si>
    <t>星期别全称2</t>
  </si>
  <si>
    <t>星期别中文</t>
  </si>
  <si>
    <t>星期别短中文</t>
  </si>
  <si>
    <t>显示星期</t>
  </si>
  <si>
    <t>阴历月开始阳历日</t>
  </si>
  <si>
    <t>阴历月表</t>
  </si>
  <si>
    <t>选择的年</t>
  </si>
  <si>
    <t>阴历月日期</t>
  </si>
  <si>
    <t>辛</t>
  </si>
  <si>
    <t>JANUARY</t>
  </si>
  <si>
    <t>January</t>
  </si>
  <si>
    <t>Jan</t>
  </si>
  <si>
    <t>一月</t>
  </si>
  <si>
    <t>鼠</t>
  </si>
  <si>
    <t>子</t>
  </si>
  <si>
    <t>甲</t>
  </si>
  <si>
    <t>小寒</t>
  </si>
  <si>
    <t>元旦</t>
  </si>
  <si>
    <t>除夕</t>
  </si>
  <si>
    <t>初一</t>
  </si>
  <si>
    <t>Sun</t>
  </si>
  <si>
    <t>SUN</t>
  </si>
  <si>
    <t>Sunday</t>
  </si>
  <si>
    <t>SUNDAY</t>
  </si>
  <si>
    <t>星期日</t>
  </si>
  <si>
    <t>日</t>
  </si>
  <si>
    <t>腊月</t>
  </si>
  <si>
    <t>选择的月</t>
  </si>
  <si>
    <t>阴历下月日期</t>
  </si>
  <si>
    <t>卯</t>
  </si>
  <si>
    <t>FEBRUARY</t>
  </si>
  <si>
    <t>February</t>
  </si>
  <si>
    <t>Feb</t>
  </si>
  <si>
    <t>二月</t>
  </si>
  <si>
    <t>牛</t>
  </si>
  <si>
    <t>丑</t>
  </si>
  <si>
    <t>乙</t>
  </si>
  <si>
    <t>大寒</t>
  </si>
  <si>
    <t>冰雪节</t>
  </si>
  <si>
    <t>春节</t>
  </si>
  <si>
    <t>初二</t>
  </si>
  <si>
    <t>Mon</t>
  </si>
  <si>
    <t>MON</t>
  </si>
  <si>
    <t>Monday</t>
  </si>
  <si>
    <t>MONDAY</t>
  </si>
  <si>
    <t>星期一</t>
  </si>
  <si>
    <t>一</t>
  </si>
  <si>
    <t>正月</t>
  </si>
  <si>
    <t>选择的日</t>
  </si>
  <si>
    <t>阴历下下月日期</t>
  </si>
  <si>
    <t>MARCH</t>
  </si>
  <si>
    <t>March</t>
  </si>
  <si>
    <t>Mar</t>
  </si>
  <si>
    <t>三月</t>
  </si>
  <si>
    <t>虎</t>
  </si>
  <si>
    <t>寅</t>
  </si>
  <si>
    <t>丙</t>
  </si>
  <si>
    <t>立春</t>
  </si>
  <si>
    <t>世界湿地日</t>
  </si>
  <si>
    <t>元宵节</t>
  </si>
  <si>
    <t>初三</t>
  </si>
  <si>
    <t>Tue</t>
  </si>
  <si>
    <t>TUE</t>
  </si>
  <si>
    <t>Tuesday</t>
  </si>
  <si>
    <t>TUESDAY</t>
  </si>
  <si>
    <t>星期二</t>
  </si>
  <si>
    <t>二</t>
  </si>
  <si>
    <t>选择的日期</t>
  </si>
  <si>
    <t>APRIL</t>
  </si>
  <si>
    <t>April</t>
  </si>
  <si>
    <t>Apr</t>
  </si>
  <si>
    <t>四月</t>
  </si>
  <si>
    <t>兔</t>
  </si>
  <si>
    <t>丁</t>
  </si>
  <si>
    <t>雨水</t>
  </si>
  <si>
    <t>二·七</t>
  </si>
  <si>
    <t>龙头节</t>
  </si>
  <si>
    <t>初四</t>
  </si>
  <si>
    <t>Wed</t>
  </si>
  <si>
    <t>WED</t>
  </si>
  <si>
    <t>Wednesday</t>
  </si>
  <si>
    <t>WEDNESDAY</t>
  </si>
  <si>
    <t>星期三</t>
  </si>
  <si>
    <t>三</t>
  </si>
  <si>
    <t>阴历月份</t>
  </si>
  <si>
    <t>MAY</t>
  </si>
  <si>
    <t>May</t>
  </si>
  <si>
    <t>五月</t>
  </si>
  <si>
    <t>龙</t>
  </si>
  <si>
    <t>辰</t>
  </si>
  <si>
    <t>戊</t>
  </si>
  <si>
    <t>惊蛰</t>
  </si>
  <si>
    <t>情人节</t>
  </si>
  <si>
    <t>插花节</t>
  </si>
  <si>
    <t>初五</t>
  </si>
  <si>
    <t>Thu</t>
  </si>
  <si>
    <t>THU</t>
  </si>
  <si>
    <t>Thursday</t>
  </si>
  <si>
    <t>THURSDAY</t>
  </si>
  <si>
    <t>星期四</t>
  </si>
  <si>
    <t>四</t>
  </si>
  <si>
    <t>现在年</t>
  </si>
  <si>
    <t>阴历年份</t>
  </si>
  <si>
    <t>JUNE</t>
  </si>
  <si>
    <t>June</t>
  </si>
  <si>
    <t>Jun</t>
  </si>
  <si>
    <t>六月</t>
  </si>
  <si>
    <t>蛇</t>
  </si>
  <si>
    <t>巳</t>
  </si>
  <si>
    <t>已</t>
  </si>
  <si>
    <t>春分</t>
  </si>
  <si>
    <t>学雷锋志愿者</t>
  </si>
  <si>
    <t>上巳节</t>
  </si>
  <si>
    <t>初六</t>
  </si>
  <si>
    <t>Fri</t>
  </si>
  <si>
    <t>FRI</t>
  </si>
  <si>
    <t>Friday</t>
  </si>
  <si>
    <t>FRIDAY</t>
  </si>
  <si>
    <t>星期五</t>
  </si>
  <si>
    <t>五</t>
  </si>
  <si>
    <t>现在月</t>
  </si>
  <si>
    <t>选择的月中文</t>
  </si>
  <si>
    <t>JULY</t>
  </si>
  <si>
    <t>July</t>
  </si>
  <si>
    <t>Jul</t>
  </si>
  <si>
    <t>七月</t>
  </si>
  <si>
    <t>马</t>
  </si>
  <si>
    <t>午</t>
  </si>
  <si>
    <t>庚</t>
  </si>
  <si>
    <t>清明</t>
  </si>
  <si>
    <t>妇女节</t>
  </si>
  <si>
    <t>转山会</t>
  </si>
  <si>
    <t>初七</t>
  </si>
  <si>
    <t>Sat</t>
  </si>
  <si>
    <t>SAT</t>
  </si>
  <si>
    <t>Saturday</t>
  </si>
  <si>
    <t>SATURDAY</t>
  </si>
  <si>
    <t>星期六</t>
  </si>
  <si>
    <t>六</t>
  </si>
  <si>
    <t>现在日</t>
  </si>
  <si>
    <t>选择的日中文</t>
  </si>
  <si>
    <t>AUGUST</t>
  </si>
  <si>
    <t>August</t>
  </si>
  <si>
    <t>Aug</t>
  </si>
  <si>
    <t>八月</t>
  </si>
  <si>
    <t>羊</t>
  </si>
  <si>
    <t>未</t>
  </si>
  <si>
    <t>谷雨</t>
  </si>
  <si>
    <t>植树节</t>
  </si>
  <si>
    <t>端午节</t>
  </si>
  <si>
    <t>初八</t>
  </si>
  <si>
    <t>现在时</t>
  </si>
  <si>
    <t>阴历位移</t>
  </si>
  <si>
    <t>SEPTEMBER</t>
  </si>
  <si>
    <t>September</t>
  </si>
  <si>
    <t>Sep</t>
  </si>
  <si>
    <t>九月</t>
  </si>
  <si>
    <t>猴</t>
  </si>
  <si>
    <t>申</t>
  </si>
  <si>
    <t>壬</t>
  </si>
  <si>
    <t>立夏</t>
  </si>
  <si>
    <t>消费者权益日</t>
  </si>
  <si>
    <t>达玛节</t>
  </si>
  <si>
    <t>初九</t>
  </si>
  <si>
    <t>现在分</t>
  </si>
  <si>
    <t>OCTOBER</t>
  </si>
  <si>
    <t>October</t>
  </si>
  <si>
    <t>Oct</t>
  </si>
  <si>
    <t>十月</t>
  </si>
  <si>
    <t>鸡</t>
  </si>
  <si>
    <t>酉</t>
  </si>
  <si>
    <t>癸</t>
  </si>
  <si>
    <t>小满</t>
  </si>
  <si>
    <t>国际航海日</t>
  </si>
  <si>
    <t>火把节</t>
  </si>
  <si>
    <t>初十</t>
  </si>
  <si>
    <t>闰八月</t>
  </si>
  <si>
    <t>NOVEMBER</t>
  </si>
  <si>
    <t>November</t>
  </si>
  <si>
    <t>Nov</t>
  </si>
  <si>
    <t>十一月</t>
  </si>
  <si>
    <t>狗</t>
  </si>
  <si>
    <t>戌</t>
  </si>
  <si>
    <t>芒种</t>
  </si>
  <si>
    <t>世界水日</t>
  </si>
  <si>
    <t>七夕节</t>
  </si>
  <si>
    <t>十一</t>
  </si>
  <si>
    <t>自转周期</t>
  </si>
  <si>
    <t>DECEMBER</t>
  </si>
  <si>
    <t>December</t>
  </si>
  <si>
    <t>Dec</t>
  </si>
  <si>
    <t>十二月</t>
  </si>
  <si>
    <t>猪</t>
  </si>
  <si>
    <t>亥</t>
  </si>
  <si>
    <t>夏至</t>
  </si>
  <si>
    <t>气象日</t>
  </si>
  <si>
    <t>中元节</t>
  </si>
  <si>
    <t>十二</t>
  </si>
  <si>
    <t>公转周期</t>
  </si>
  <si>
    <t>小暑</t>
  </si>
  <si>
    <t>愚人节</t>
  </si>
  <si>
    <t>中秋节</t>
  </si>
  <si>
    <t>十三</t>
  </si>
  <si>
    <t>仲冬</t>
  </si>
  <si>
    <t>速度</t>
  </si>
  <si>
    <t>大暑</t>
  </si>
  <si>
    <t>卫生日</t>
  </si>
  <si>
    <t>重阳节</t>
  </si>
  <si>
    <t>十四</t>
  </si>
  <si>
    <t>朔望月</t>
  </si>
  <si>
    <t>立秋</t>
  </si>
  <si>
    <t>地球日</t>
  </si>
  <si>
    <t>腊八节</t>
  </si>
  <si>
    <t>十五</t>
  </si>
  <si>
    <t>农历初始日期</t>
  </si>
  <si>
    <t>处暑</t>
  </si>
  <si>
    <t>世界读书日</t>
  </si>
  <si>
    <t>小年</t>
  </si>
  <si>
    <t>十六</t>
  </si>
  <si>
    <t>闰年否</t>
  </si>
  <si>
    <t>白露</t>
  </si>
  <si>
    <t>劳动节</t>
  </si>
  <si>
    <t>过年</t>
  </si>
  <si>
    <t>十七</t>
  </si>
  <si>
    <t>选择的本月天数</t>
  </si>
  <si>
    <t>秋分</t>
  </si>
  <si>
    <t>青年节</t>
  </si>
  <si>
    <t>十八</t>
  </si>
  <si>
    <t>选择的上月天数</t>
  </si>
  <si>
    <t>寒露</t>
  </si>
  <si>
    <t>护士节</t>
  </si>
  <si>
    <t>十九</t>
  </si>
  <si>
    <t>选择的英文月份</t>
  </si>
  <si>
    <t>霜降</t>
  </si>
  <si>
    <t>助残日</t>
  </si>
  <si>
    <t>二十</t>
  </si>
  <si>
    <t>系统误差</t>
  </si>
  <si>
    <t>立冬</t>
  </si>
  <si>
    <t>电信日</t>
  </si>
  <si>
    <t>廿一</t>
  </si>
  <si>
    <t>阴历月基本循环期</t>
  </si>
  <si>
    <t>小雪</t>
  </si>
  <si>
    <t>无烟日</t>
  </si>
  <si>
    <t>廿二</t>
  </si>
  <si>
    <t>阴历月指针</t>
  </si>
  <si>
    <t>大雪</t>
  </si>
  <si>
    <t>儿童节</t>
  </si>
  <si>
    <t>廿三</t>
  </si>
  <si>
    <t>冬至</t>
  </si>
  <si>
    <t>环璄日</t>
  </si>
  <si>
    <t>廿四</t>
  </si>
  <si>
    <t>节气初始时刻</t>
  </si>
  <si>
    <t>爱眼日</t>
  </si>
  <si>
    <t>廿五</t>
  </si>
  <si>
    <t>节气跨度</t>
  </si>
  <si>
    <t>禁毒日</t>
  </si>
  <si>
    <t>廿六</t>
  </si>
  <si>
    <t>建党节.香港回归</t>
  </si>
  <si>
    <t>廿七</t>
  </si>
  <si>
    <t>本月节气1</t>
  </si>
  <si>
    <t>七七事变</t>
  </si>
  <si>
    <t>廿八</t>
  </si>
  <si>
    <t>本月节气2</t>
  </si>
  <si>
    <t>人口日</t>
  </si>
  <si>
    <t>廿九</t>
  </si>
  <si>
    <t>本月节气1日期</t>
  </si>
  <si>
    <t>建军节</t>
  </si>
  <si>
    <t>三十</t>
  </si>
  <si>
    <t>本月节气2日期</t>
  </si>
  <si>
    <t>抗战胜利日</t>
  </si>
  <si>
    <t>扫肓日</t>
  </si>
  <si>
    <t>星期开始于</t>
  </si>
  <si>
    <t>教师节</t>
  </si>
  <si>
    <t>星期名称类别</t>
  </si>
  <si>
    <t>6-日</t>
  </si>
  <si>
    <t>九一八</t>
  </si>
  <si>
    <t>星期开始于顺序</t>
  </si>
  <si>
    <t>爱牙日</t>
  </si>
  <si>
    <t>星期名称类别顺序</t>
  </si>
  <si>
    <t>无车日</t>
  </si>
  <si>
    <t>月份显示类别</t>
  </si>
  <si>
    <t>4-一月</t>
  </si>
  <si>
    <t>旅游日</t>
  </si>
  <si>
    <t>月份显示类别顺序</t>
  </si>
  <si>
    <t>国庆节</t>
  </si>
  <si>
    <t>国庆长假</t>
  </si>
  <si>
    <t>选择月的首日</t>
  </si>
  <si>
    <t>选择月的尾日</t>
  </si>
  <si>
    <t>选择月首周首日日期</t>
  </si>
  <si>
    <t>世界动物日</t>
  </si>
  <si>
    <t>选择月开始的行</t>
  </si>
  <si>
    <t>针对月历使用</t>
  </si>
  <si>
    <t>选择月开始的列</t>
  </si>
  <si>
    <t>闰五月</t>
  </si>
  <si>
    <t>每日所占的行数</t>
  </si>
  <si>
    <t>每日所占的列数</t>
  </si>
  <si>
    <t>邮政日</t>
  </si>
  <si>
    <t>显示星期头</t>
  </si>
  <si>
    <t>辛亥革命</t>
  </si>
  <si>
    <t>世界标准日</t>
  </si>
  <si>
    <t>针对年历使用 一月</t>
  </si>
  <si>
    <t>世界粮食日</t>
  </si>
  <si>
    <t>年历一每日所占的行数</t>
  </si>
  <si>
    <t>万圣节</t>
  </si>
  <si>
    <t>年历一每日所占的列数</t>
  </si>
  <si>
    <t>世界艾兹病日</t>
  </si>
  <si>
    <t>年历一显示星期头</t>
  </si>
  <si>
    <t>隆临节</t>
  </si>
  <si>
    <t>一二九</t>
  </si>
  <si>
    <t>年历一一月开始的列</t>
  </si>
  <si>
    <t>人权日</t>
  </si>
  <si>
    <t>年历一一月开始的行</t>
  </si>
  <si>
    <t>西安事变</t>
  </si>
  <si>
    <t>国家公祭日</t>
  </si>
  <si>
    <t>年历一二月开始的列</t>
  </si>
  <si>
    <t>澳门回归</t>
  </si>
  <si>
    <t>年历一二月开始的行</t>
  </si>
  <si>
    <t>平安夜</t>
  </si>
  <si>
    <t>圣诞节</t>
  </si>
  <si>
    <t>年历一三月开始的列</t>
  </si>
  <si>
    <t>母亲节</t>
  </si>
  <si>
    <t>年历一三月开始的行</t>
  </si>
  <si>
    <t>父亲节</t>
  </si>
  <si>
    <t>感恩节</t>
  </si>
  <si>
    <t>年历一四月开始的列</t>
  </si>
  <si>
    <t>复活节</t>
  </si>
  <si>
    <t>年历一四月开始的行</t>
  </si>
  <si>
    <t>世界睡眠日</t>
  </si>
  <si>
    <t>世界防治结核病日</t>
  </si>
  <si>
    <t>年历一五月开始的列</t>
  </si>
  <si>
    <t>世界知识产权日</t>
  </si>
  <si>
    <t>年历一五月开始的行</t>
  </si>
  <si>
    <t>世界红十字会日</t>
  </si>
  <si>
    <t>国际家庭日</t>
  </si>
  <si>
    <t>年历一六月开始的列</t>
  </si>
  <si>
    <t>国际博物馆日</t>
  </si>
  <si>
    <t>年历一六月开始的行</t>
  </si>
  <si>
    <t>世界防治荒漠化和干旱日</t>
  </si>
  <si>
    <t>世界难民日</t>
  </si>
  <si>
    <t>年历一七月开始的列</t>
  </si>
  <si>
    <t>国际奥林匹克日</t>
  </si>
  <si>
    <t>年历一七月开始的行</t>
  </si>
  <si>
    <t>国际臭氧层保护日</t>
  </si>
  <si>
    <t>国际盲人节</t>
  </si>
  <si>
    <t>年历一八月开始的列</t>
  </si>
  <si>
    <t>国际消除贫困日</t>
  </si>
  <si>
    <t>年历一八月开始的行</t>
  </si>
  <si>
    <t>世界糖尿病日</t>
  </si>
  <si>
    <t>国际残疾人日</t>
  </si>
  <si>
    <t>年历一九月开始的列</t>
  </si>
  <si>
    <t>中国法制宣传日</t>
  </si>
  <si>
    <t>年历一九月开始的行</t>
  </si>
  <si>
    <t>国际志愿人员日</t>
  </si>
  <si>
    <t>国际民航日</t>
  </si>
  <si>
    <t>闰四月</t>
  </si>
  <si>
    <t>年历一十月开始的列</t>
  </si>
  <si>
    <t>年历一十月开始的行</t>
  </si>
  <si>
    <t>年历一十一月开始的列</t>
  </si>
  <si>
    <t>年历一十一月开始的行</t>
  </si>
  <si>
    <t>年历一十二月开始的列</t>
  </si>
  <si>
    <t>年历一十二月开始的行</t>
  </si>
  <si>
    <t>闰二月</t>
  </si>
  <si>
    <t>闰六月</t>
  </si>
  <si>
    <t>显示阴历日X</t>
  </si>
  <si>
    <t>(查询日期&gt;阴历下月日期,查询日期-阴历下月日期,IF(查询日期&lt;阴历月日期,IF(查询日期&lt;DATE(1900,3,1),30,29)-阴历月日期+查询日期,查询日期-阴历月日期))</t>
  </si>
  <si>
    <t>显示阴历日OffsetX</t>
  </si>
  <si>
    <t>IF(查询日期&gt;阴历下下月日期,查询日期-阴历下下月日期,显示阴历日X)</t>
  </si>
  <si>
    <t>显示阴历日阴历月首</t>
  </si>
  <si>
    <t>IF(查询日期=阴历月日期,阴历月中文月份,IF(查询日期=阴历下月日期,阴历下月中文月份,IF(查询日期=阴历下下月日期,阴历下下月中文月份,"")))</t>
  </si>
  <si>
    <t>显示阴历日阴历初X</t>
  </si>
  <si>
    <t>IF(选择的年&lt;=1899,"",OFFSET(阴历日列,显示阴历日OffsetX,0))</t>
  </si>
  <si>
    <t>显示阴历日</t>
  </si>
  <si>
    <t>IF(显示阴历日阴历月首&lt;&gt;"",显示阴历日阴历月首,IF(ISERROR(显示阴历日阴历初X),"",显示阴历日阴历初X))</t>
  </si>
  <si>
    <t>闰七月</t>
  </si>
  <si>
    <t>闰三月</t>
  </si>
  <si>
    <t>闰十月</t>
  </si>
  <si>
    <t>闰九月</t>
  </si>
  <si>
    <t>闰仲冬</t>
  </si>
  <si>
    <t>颜色方案选择</t>
  </si>
  <si>
    <t>颜色对照如下</t>
  </si>
  <si>
    <t>自定义</t>
  </si>
  <si>
    <t>请选择颜色方案</t>
  </si>
  <si>
    <t>海洋绿</t>
  </si>
  <si>
    <t>晒黑</t>
  </si>
  <si>
    <t>8CB4D2</t>
  </si>
  <si>
    <t>结实的树</t>
  </si>
  <si>
    <t>B86403</t>
  </si>
  <si>
    <t>R</t>
  </si>
  <si>
    <t>沙棕色</t>
  </si>
  <si>
    <t>60A4F4</t>
  </si>
  <si>
    <t>G</t>
  </si>
  <si>
    <t>巧克力</t>
  </si>
  <si>
    <t>1E69D2</t>
  </si>
  <si>
    <t>B</t>
  </si>
  <si>
    <t>淡珊瑚色</t>
  </si>
  <si>
    <t>8080F0</t>
  </si>
  <si>
    <t>栗色</t>
  </si>
  <si>
    <t>000080</t>
  </si>
  <si>
    <r>
      <rPr>
        <sz val="10"/>
        <color theme="1" tint="0.499984740745262"/>
        <rFont val="宋体"/>
        <charset val="134"/>
        <scheme val="minor"/>
      </rPr>
      <t xml:space="preserve">选择的颜色
</t>
    </r>
    <r>
      <rPr>
        <sz val="10"/>
        <color theme="0"/>
        <rFont val="宋体"/>
        <charset val="134"/>
        <scheme val="minor"/>
      </rPr>
      <t>选择的颜色</t>
    </r>
  </si>
  <si>
    <t>银白色</t>
  </si>
  <si>
    <t>C0C0C0</t>
  </si>
  <si>
    <t>深灰色</t>
  </si>
  <si>
    <t>A9A9A9</t>
  </si>
  <si>
    <t>深紫罗兰色</t>
  </si>
  <si>
    <t>D30094</t>
  </si>
  <si>
    <t>深兰花紫</t>
  </si>
  <si>
    <t>CC3299</t>
  </si>
  <si>
    <t>春天的绿色</t>
  </si>
  <si>
    <t>7FFF00</t>
  </si>
  <si>
    <t>深青色</t>
  </si>
  <si>
    <t>8B8B00</t>
  </si>
  <si>
    <t>万年历-年历</t>
  </si>
  <si>
    <t>年</t>
  </si>
  <si>
    <t>月历工作计划</t>
  </si>
  <si>
    <t>月</t>
  </si>
</sst>
</file>

<file path=xl/styles.xml><?xml version="1.0" encoding="utf-8"?>
<styleSheet xmlns="http://schemas.openxmlformats.org/spreadsheetml/2006/main">
  <numFmts count="9"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176" formatCode="d"/>
    <numFmt numFmtId="177" formatCode="[$-409]yyyy/m/d\ h:mm\ AM/PM;@"/>
    <numFmt numFmtId="178" formatCode="0_ "/>
    <numFmt numFmtId="179" formatCode="0_);[Red]\(0\)"/>
    <numFmt numFmtId="180" formatCode="0.00000_);[Red]\(0.00000\)"/>
  </numFmts>
  <fonts count="43">
    <font>
      <sz val="11"/>
      <color theme="1"/>
      <name val="宋体"/>
      <charset val="134"/>
      <scheme val="minor"/>
    </font>
    <font>
      <sz val="14"/>
      <color theme="1"/>
      <name val="等线"/>
      <charset val="134"/>
    </font>
    <font>
      <b/>
      <sz val="16"/>
      <color theme="0"/>
      <name val="等线"/>
      <charset val="134"/>
    </font>
    <font>
      <b/>
      <sz val="14"/>
      <color theme="0"/>
      <name val="等线"/>
      <charset val="134"/>
    </font>
    <font>
      <b/>
      <sz val="14"/>
      <color theme="1"/>
      <name val="等线"/>
      <charset val="134"/>
    </font>
    <font>
      <b/>
      <sz val="16"/>
      <color theme="1"/>
      <name val="等线"/>
      <charset val="134"/>
    </font>
    <font>
      <sz val="16"/>
      <color theme="1"/>
      <name val="等线"/>
      <charset val="134"/>
    </font>
    <font>
      <b/>
      <sz val="11"/>
      <color theme="0"/>
      <name val="微软雅黑"/>
      <charset val="134"/>
    </font>
    <font>
      <b/>
      <sz val="8"/>
      <color rgb="FFC00000"/>
      <name val="微软雅黑"/>
      <charset val="134"/>
    </font>
    <font>
      <b/>
      <sz val="8"/>
      <color theme="1"/>
      <name val="微软雅黑"/>
      <charset val="134"/>
    </font>
    <font>
      <sz val="11"/>
      <color rgb="FFC00000"/>
      <name val="微软雅黑"/>
      <charset val="134"/>
    </font>
    <font>
      <sz val="11"/>
      <color theme="1"/>
      <name val="微软雅黑"/>
      <charset val="134"/>
    </font>
    <font>
      <sz val="14"/>
      <color theme="0"/>
      <name val="等线"/>
      <charset val="134"/>
    </font>
    <font>
      <sz val="8"/>
      <color theme="1"/>
      <name val="微软雅黑"/>
      <charset val="134"/>
    </font>
    <font>
      <b/>
      <sz val="12"/>
      <color theme="0"/>
      <name val="等线"/>
      <charset val="134"/>
    </font>
    <font>
      <sz val="10"/>
      <color theme="1" tint="0.499984740745262"/>
      <name val="宋体"/>
      <charset val="134"/>
      <scheme val="minor"/>
    </font>
    <font>
      <sz val="10"/>
      <color theme="0"/>
      <name val="宋体"/>
      <charset val="134"/>
      <scheme val="minor"/>
    </font>
    <font>
      <sz val="10"/>
      <color theme="1" tint="0.499984740745262"/>
      <name val="微软雅黑"/>
      <charset val="134"/>
    </font>
    <font>
      <sz val="11"/>
      <color theme="0"/>
      <name val="宋体"/>
      <charset val="134"/>
      <scheme val="minor"/>
    </font>
    <font>
      <sz val="9"/>
      <color theme="0"/>
      <name val="宋体"/>
      <charset val="134"/>
      <scheme val="minor"/>
    </font>
    <font>
      <sz val="9"/>
      <color theme="0"/>
      <name val="宋体"/>
      <charset val="134"/>
    </font>
    <font>
      <b/>
      <sz val="9"/>
      <color theme="0"/>
      <name val="宋体"/>
      <charset val="134"/>
    </font>
    <font>
      <sz val="9"/>
      <color theme="0"/>
      <name val="Arial"/>
      <charset val="134"/>
    </font>
    <font>
      <sz val="10"/>
      <name val="Arial"/>
      <charset val="134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808780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364B8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</fills>
  <borders count="59">
    <border>
      <left/>
      <right/>
      <top/>
      <bottom/>
      <diagonal/>
    </border>
    <border>
      <left style="thin">
        <color rgb="FF217346"/>
      </left>
      <right style="thin">
        <color rgb="FF217346"/>
      </right>
      <top style="thin">
        <color rgb="FF217346"/>
      </top>
      <bottom style="thin">
        <color rgb="FF217346"/>
      </bottom>
      <diagonal/>
    </border>
    <border>
      <left style="thin">
        <color rgb="FF217346"/>
      </left>
      <right style="thin">
        <color rgb="FF217346"/>
      </right>
      <top style="thin">
        <color rgb="FF217346"/>
      </top>
      <bottom/>
      <diagonal/>
    </border>
    <border>
      <left style="thin">
        <color rgb="FF217346"/>
      </left>
      <right style="dashed">
        <color rgb="FF217346"/>
      </right>
      <top style="thin">
        <color rgb="FF217346"/>
      </top>
      <bottom style="dashed">
        <color rgb="FF217346"/>
      </bottom>
      <diagonal/>
    </border>
    <border>
      <left style="dashed">
        <color rgb="FF217346"/>
      </left>
      <right style="dashed">
        <color rgb="FF217346"/>
      </right>
      <top style="thin">
        <color rgb="FF217346"/>
      </top>
      <bottom style="dashed">
        <color rgb="FF217346"/>
      </bottom>
      <diagonal/>
    </border>
    <border>
      <left style="dashed">
        <color rgb="FF217346"/>
      </left>
      <right style="thin">
        <color rgb="FF217346"/>
      </right>
      <top style="thin">
        <color rgb="FF217346"/>
      </top>
      <bottom style="dashed">
        <color rgb="FF217346"/>
      </bottom>
      <diagonal/>
    </border>
    <border>
      <left style="thin">
        <color rgb="FF217346"/>
      </left>
      <right style="dashed">
        <color rgb="FF217346"/>
      </right>
      <top style="dashed">
        <color rgb="FF217346"/>
      </top>
      <bottom/>
      <diagonal/>
    </border>
    <border>
      <left style="dashed">
        <color rgb="FF217346"/>
      </left>
      <right style="dashed">
        <color rgb="FF217346"/>
      </right>
      <top style="dashed">
        <color rgb="FF217346"/>
      </top>
      <bottom/>
      <diagonal/>
    </border>
    <border>
      <left style="dashed">
        <color rgb="FF217346"/>
      </left>
      <right style="thin">
        <color rgb="FF217346"/>
      </right>
      <top style="dashed">
        <color rgb="FF217346"/>
      </top>
      <bottom/>
      <diagonal/>
    </border>
    <border>
      <left style="thin">
        <color rgb="FF217346"/>
      </left>
      <right style="dashed">
        <color rgb="FF217346"/>
      </right>
      <top style="thin">
        <color rgb="FFFFFFFF"/>
      </top>
      <bottom style="dashed">
        <color rgb="FF217346"/>
      </bottom>
      <diagonal/>
    </border>
    <border>
      <left style="dashed">
        <color rgb="FF217346"/>
      </left>
      <right style="dashed">
        <color rgb="FF217346"/>
      </right>
      <top style="thin">
        <color rgb="FFFFFFFF"/>
      </top>
      <bottom style="dashed">
        <color rgb="FF217346"/>
      </bottom>
      <diagonal/>
    </border>
    <border>
      <left style="dashed">
        <color rgb="FF217346"/>
      </left>
      <right style="thin">
        <color rgb="FF217346"/>
      </right>
      <top style="thin">
        <color rgb="FFFFFFFF"/>
      </top>
      <bottom style="dashed">
        <color rgb="FF217346"/>
      </bottom>
      <diagonal/>
    </border>
    <border>
      <left style="thin">
        <color rgb="FF217346"/>
      </left>
      <right style="dashed">
        <color rgb="FF217346"/>
      </right>
      <top style="thin">
        <color rgb="FFFFFFFF"/>
      </top>
      <bottom style="thin">
        <color rgb="FF217346"/>
      </bottom>
      <diagonal/>
    </border>
    <border>
      <left style="dashed">
        <color rgb="FF217346"/>
      </left>
      <right style="dashed">
        <color rgb="FF217346"/>
      </right>
      <top style="thin">
        <color rgb="FFFFFFFF"/>
      </top>
      <bottom style="thin">
        <color rgb="FF217346"/>
      </bottom>
      <diagonal/>
    </border>
    <border>
      <left style="dashed">
        <color rgb="FF217346"/>
      </left>
      <right style="thin">
        <color rgb="FF217346"/>
      </right>
      <top style="thin">
        <color rgb="FFFFFFFF"/>
      </top>
      <bottom style="thin">
        <color rgb="FF217346"/>
      </bottom>
      <diagonal/>
    </border>
    <border>
      <left style="thin">
        <color rgb="FF6F0BFF"/>
      </left>
      <right/>
      <top/>
      <bottom/>
      <diagonal/>
    </border>
    <border>
      <left style="thin">
        <color rgb="FF217346"/>
      </left>
      <right style="dashed">
        <color rgb="FF217346"/>
      </right>
      <top style="dashed">
        <color rgb="FF217346"/>
      </top>
      <bottom style="dashed">
        <color rgb="FF217346"/>
      </bottom>
      <diagonal/>
    </border>
    <border>
      <left style="dashed">
        <color rgb="FF217346"/>
      </left>
      <right style="dashed">
        <color rgb="FF217346"/>
      </right>
      <top style="dashed">
        <color rgb="FF217346"/>
      </top>
      <bottom style="dashed">
        <color rgb="FF217346"/>
      </bottom>
      <diagonal/>
    </border>
    <border>
      <left style="dashed">
        <color rgb="FF217346"/>
      </left>
      <right style="thin">
        <color rgb="FF217346"/>
      </right>
      <top style="dashed">
        <color rgb="FF217346"/>
      </top>
      <bottom style="dashed">
        <color rgb="FF217346"/>
      </bottom>
      <diagonal/>
    </border>
    <border>
      <left style="thin">
        <color rgb="FF217346"/>
      </left>
      <right style="dashed">
        <color rgb="FF217346"/>
      </right>
      <top style="dashed">
        <color rgb="FF217346"/>
      </top>
      <bottom style="thin">
        <color rgb="FF217346"/>
      </bottom>
      <diagonal/>
    </border>
    <border>
      <left style="dashed">
        <color rgb="FF217346"/>
      </left>
      <right style="dashed">
        <color rgb="FF217346"/>
      </right>
      <top style="dashed">
        <color rgb="FF217346"/>
      </top>
      <bottom style="thin">
        <color rgb="FF217346"/>
      </bottom>
      <diagonal/>
    </border>
    <border>
      <left style="dashed">
        <color rgb="FF217346"/>
      </left>
      <right style="thin">
        <color rgb="FF217346"/>
      </right>
      <top style="dashed">
        <color rgb="FF217346"/>
      </top>
      <bottom style="thin">
        <color rgb="FF217346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/>
      </right>
      <top style="thin">
        <color theme="0" tint="-0.49998474074526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499984740745262"/>
      </top>
      <bottom style="thin">
        <color theme="0"/>
      </bottom>
      <diagonal/>
    </border>
    <border>
      <left style="thin">
        <color theme="0"/>
      </left>
      <right style="thin">
        <color theme="0" tint="-0.499984740745262"/>
      </right>
      <top style="thin">
        <color theme="0" tint="-0.499984740745262"/>
      </top>
      <bottom style="thin">
        <color theme="0"/>
      </bottom>
      <diagonal/>
    </border>
    <border>
      <left style="thin">
        <color theme="0" tint="-0.49998474074526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499984740745262"/>
      </bottom>
      <diagonal/>
    </border>
    <border>
      <left style="thin">
        <color theme="0"/>
      </left>
      <right style="thin">
        <color theme="0" tint="-0.499984740745262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499984740745262"/>
      </left>
      <right/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/>
      </right>
      <top style="thin">
        <color theme="0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/>
      <bottom style="thin">
        <color theme="0" tint="-0.499984740745262"/>
      </bottom>
      <diagonal/>
    </border>
    <border>
      <left style="thin">
        <color theme="0"/>
      </left>
      <right style="thin">
        <color theme="0" tint="-0.499984740745262"/>
      </right>
      <top style="thin">
        <color theme="0"/>
      </top>
      <bottom style="thin">
        <color theme="0" tint="-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6" fillId="32" borderId="5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0" fillId="31" borderId="51" applyNumberFormat="0" applyFont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40" fillId="0" borderId="54" applyNumberFormat="0" applyFill="0" applyAlignment="0" applyProtection="0">
      <alignment vertical="center"/>
    </xf>
    <xf numFmtId="0" fontId="28" fillId="0" borderId="54" applyNumberFormat="0" applyFill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30" fillId="0" borderId="55" applyNumberFormat="0" applyFill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33" fillId="34" borderId="56" applyNumberFormat="0" applyAlignment="0" applyProtection="0">
      <alignment vertical="center"/>
    </xf>
    <xf numFmtId="0" fontId="35" fillId="34" borderId="52" applyNumberFormat="0" applyAlignment="0" applyProtection="0">
      <alignment vertical="center"/>
    </xf>
    <xf numFmtId="0" fontId="37" fillId="35" borderId="57" applyNumberFormat="0" applyAlignment="0" applyProtection="0">
      <alignment vertical="center"/>
    </xf>
    <xf numFmtId="0" fontId="25" fillId="39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39" fillId="0" borderId="58" applyNumberFormat="0" applyFill="0" applyAlignment="0" applyProtection="0">
      <alignment vertical="center"/>
    </xf>
    <xf numFmtId="0" fontId="27" fillId="0" borderId="53" applyNumberFormat="0" applyFill="0" applyAlignment="0" applyProtection="0">
      <alignment vertical="center"/>
    </xf>
    <xf numFmtId="0" fontId="41" fillId="4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5" fillId="46" borderId="0" applyNumberFormat="0" applyBorder="0" applyAlignment="0" applyProtection="0">
      <alignment vertical="center"/>
    </xf>
    <xf numFmtId="0" fontId="25" fillId="47" borderId="0" applyNumberFormat="0" applyBorder="0" applyAlignment="0" applyProtection="0">
      <alignment vertical="center"/>
    </xf>
    <xf numFmtId="0" fontId="25" fillId="38" borderId="0" applyNumberFormat="0" applyBorder="0" applyAlignment="0" applyProtection="0">
      <alignment vertical="center"/>
    </xf>
    <xf numFmtId="0" fontId="25" fillId="5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5" fillId="37" borderId="0" applyNumberFormat="0" applyBorder="0" applyAlignment="0" applyProtection="0">
      <alignment vertical="center"/>
    </xf>
    <xf numFmtId="0" fontId="25" fillId="4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5" fillId="48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3" fillId="0" borderId="0"/>
    <xf numFmtId="43" fontId="23" fillId="0" borderId="0" applyFont="0" applyFill="0" applyBorder="0" applyAlignment="0" applyProtection="0"/>
  </cellStyleXfs>
  <cellXfs count="140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top" wrapText="1"/>
    </xf>
    <xf numFmtId="0" fontId="3" fillId="3" borderId="2" xfId="0" applyFont="1" applyFill="1" applyBorder="1" applyAlignment="1">
      <alignment horizontal="right" vertical="center"/>
    </xf>
    <xf numFmtId="0" fontId="3" fillId="3" borderId="2" xfId="0" applyFont="1" applyFill="1" applyBorder="1" applyAlignment="1">
      <alignment horizontal="left" vertical="center"/>
    </xf>
    <xf numFmtId="177" fontId="3" fillId="3" borderId="2" xfId="0" applyNumberFormat="1" applyFont="1" applyFill="1" applyBorder="1" applyAlignment="1">
      <alignment vertical="center"/>
    </xf>
    <xf numFmtId="0" fontId="1" fillId="2" borderId="0" xfId="0" applyFont="1" applyFill="1" applyAlignment="1">
      <alignment horizontal="center" vertical="top" wrapTex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176" fontId="5" fillId="2" borderId="6" xfId="0" applyNumberFormat="1" applyFont="1" applyFill="1" applyBorder="1" applyAlignment="1">
      <alignment horizontal="left" vertical="top"/>
    </xf>
    <xf numFmtId="176" fontId="5" fillId="2" borderId="7" xfId="0" applyNumberFormat="1" applyFont="1" applyFill="1" applyBorder="1" applyAlignment="1">
      <alignment horizontal="left" vertical="top"/>
    </xf>
    <xf numFmtId="176" fontId="5" fillId="2" borderId="8" xfId="0" applyNumberFormat="1" applyFont="1" applyFill="1" applyBorder="1" applyAlignment="1">
      <alignment horizontal="left" vertical="top"/>
    </xf>
    <xf numFmtId="0" fontId="6" fillId="2" borderId="9" xfId="0" applyNumberFormat="1" applyFont="1" applyFill="1" applyBorder="1" applyAlignment="1">
      <alignment horizontal="left" vertical="top"/>
    </xf>
    <xf numFmtId="0" fontId="6" fillId="2" borderId="10" xfId="0" applyNumberFormat="1" applyFont="1" applyFill="1" applyBorder="1" applyAlignment="1">
      <alignment horizontal="left" vertical="top"/>
    </xf>
    <xf numFmtId="0" fontId="6" fillId="2" borderId="11" xfId="0" applyNumberFormat="1" applyFont="1" applyFill="1" applyBorder="1" applyAlignment="1">
      <alignment horizontal="left" vertical="top"/>
    </xf>
    <xf numFmtId="176" fontId="6" fillId="2" borderId="8" xfId="0" applyNumberFormat="1" applyFont="1" applyFill="1" applyBorder="1" applyAlignment="1">
      <alignment horizontal="left" vertical="top"/>
    </xf>
    <xf numFmtId="0" fontId="1" fillId="2" borderId="0" xfId="0" applyFont="1" applyFill="1" applyBorder="1" applyAlignment="1">
      <alignment horizontal="center" vertical="top" wrapText="1"/>
    </xf>
    <xf numFmtId="0" fontId="6" fillId="2" borderId="12" xfId="0" applyNumberFormat="1" applyFont="1" applyFill="1" applyBorder="1" applyAlignment="1">
      <alignment horizontal="left" vertical="top"/>
    </xf>
    <xf numFmtId="0" fontId="6" fillId="2" borderId="13" xfId="0" applyNumberFormat="1" applyFont="1" applyFill="1" applyBorder="1" applyAlignment="1">
      <alignment horizontal="left" vertical="top"/>
    </xf>
    <xf numFmtId="0" fontId="6" fillId="2" borderId="14" xfId="0" applyNumberFormat="1" applyFont="1" applyFill="1" applyBorder="1" applyAlignment="1">
      <alignment horizontal="left" vertical="top"/>
    </xf>
    <xf numFmtId="0" fontId="1" fillId="2" borderId="0" xfId="0" applyFont="1" applyFill="1" applyAlignment="1">
      <alignment vertical="center" wrapText="1"/>
    </xf>
    <xf numFmtId="176" fontId="1" fillId="2" borderId="0" xfId="0" applyNumberFormat="1" applyFont="1" applyFill="1" applyAlignment="1">
      <alignment vertical="center" wrapText="1"/>
    </xf>
    <xf numFmtId="14" fontId="1" fillId="2" borderId="0" xfId="0" applyNumberFormat="1" applyFont="1" applyFill="1" applyAlignment="1">
      <alignment vertical="center" wrapText="1"/>
    </xf>
    <xf numFmtId="0" fontId="1" fillId="2" borderId="0" xfId="0" applyFont="1" applyFill="1" applyBorder="1">
      <alignment vertical="center"/>
    </xf>
    <xf numFmtId="0" fontId="1" fillId="2" borderId="15" xfId="0" applyFont="1" applyFill="1" applyBorder="1">
      <alignment vertical="center"/>
    </xf>
    <xf numFmtId="0" fontId="2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right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177" fontId="3" fillId="3" borderId="1" xfId="0" applyNumberFormat="1" applyFont="1" applyFill="1" applyBorder="1" applyAlignment="1">
      <alignment vertical="center"/>
    </xf>
    <xf numFmtId="0" fontId="7" fillId="3" borderId="2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76" fontId="8" fillId="2" borderId="3" xfId="0" applyNumberFormat="1" applyFont="1" applyFill="1" applyBorder="1" applyAlignment="1">
      <alignment horizontal="center" vertical="center"/>
    </xf>
    <xf numFmtId="176" fontId="9" fillId="2" borderId="4" xfId="0" applyNumberFormat="1" applyFont="1" applyFill="1" applyBorder="1" applyAlignment="1">
      <alignment horizontal="center" vertical="center"/>
    </xf>
    <xf numFmtId="176" fontId="8" fillId="2" borderId="5" xfId="0" applyNumberFormat="1" applyFont="1" applyFill="1" applyBorder="1" applyAlignment="1">
      <alignment horizontal="center" vertical="center"/>
    </xf>
    <xf numFmtId="176" fontId="10" fillId="2" borderId="16" xfId="0" applyNumberFormat="1" applyFont="1" applyFill="1" applyBorder="1" applyAlignment="1">
      <alignment horizontal="center" vertical="center"/>
    </xf>
    <xf numFmtId="176" fontId="11" fillId="2" borderId="17" xfId="0" applyNumberFormat="1" applyFont="1" applyFill="1" applyBorder="1" applyAlignment="1">
      <alignment horizontal="center" vertical="center"/>
    </xf>
    <xf numFmtId="176" fontId="10" fillId="2" borderId="18" xfId="0" applyNumberFormat="1" applyFont="1" applyFill="1" applyBorder="1" applyAlignment="1">
      <alignment horizontal="center" vertical="center"/>
    </xf>
    <xf numFmtId="176" fontId="10" fillId="2" borderId="19" xfId="0" applyNumberFormat="1" applyFont="1" applyFill="1" applyBorder="1" applyAlignment="1">
      <alignment horizontal="center" vertical="center"/>
    </xf>
    <xf numFmtId="176" fontId="11" fillId="2" borderId="20" xfId="0" applyNumberFormat="1" applyFont="1" applyFill="1" applyBorder="1" applyAlignment="1">
      <alignment horizontal="center" vertical="center"/>
    </xf>
    <xf numFmtId="176" fontId="10" fillId="2" borderId="21" xfId="0" applyNumberFormat="1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13" fillId="2" borderId="22" xfId="0" applyFont="1" applyFill="1" applyBorder="1" applyAlignment="1">
      <alignment horizontal="center" vertical="center"/>
    </xf>
    <xf numFmtId="176" fontId="9" fillId="2" borderId="23" xfId="0" applyNumberFormat="1" applyFont="1" applyFill="1" applyBorder="1" applyAlignment="1">
      <alignment horizontal="center" vertical="center"/>
    </xf>
    <xf numFmtId="176" fontId="11" fillId="2" borderId="22" xfId="0" applyNumberFormat="1" applyFont="1" applyFill="1" applyBorder="1" applyAlignment="1">
      <alignment horizontal="center" vertical="center"/>
    </xf>
    <xf numFmtId="0" fontId="11" fillId="2" borderId="24" xfId="0" applyFont="1" applyFill="1" applyBorder="1" applyAlignment="1">
      <alignment horizontal="center" vertical="center"/>
    </xf>
    <xf numFmtId="0" fontId="11" fillId="2" borderId="25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right"/>
    </xf>
    <xf numFmtId="0" fontId="11" fillId="2" borderId="26" xfId="0" applyFont="1" applyFill="1" applyBorder="1" applyAlignment="1">
      <alignment horizontal="center" vertical="center"/>
    </xf>
    <xf numFmtId="0" fontId="15" fillId="0" borderId="25" xfId="0" applyFont="1" applyBorder="1">
      <alignment vertical="center"/>
    </xf>
    <xf numFmtId="0" fontId="15" fillId="0" borderId="27" xfId="0" applyFont="1" applyBorder="1">
      <alignment vertical="center"/>
    </xf>
    <xf numFmtId="0" fontId="15" fillId="0" borderId="28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28" xfId="0" applyFont="1" applyBorder="1" applyAlignment="1">
      <alignment horizontal="left" vertical="center"/>
    </xf>
    <xf numFmtId="0" fontId="15" fillId="0" borderId="31" xfId="0" applyFont="1" applyBorder="1">
      <alignment vertical="center"/>
    </xf>
    <xf numFmtId="0" fontId="15" fillId="0" borderId="32" xfId="0" applyFont="1" applyBorder="1">
      <alignment vertical="center"/>
    </xf>
    <xf numFmtId="0" fontId="15" fillId="0" borderId="33" xfId="0" applyFont="1" applyBorder="1">
      <alignment vertical="center"/>
    </xf>
    <xf numFmtId="0" fontId="15" fillId="0" borderId="34" xfId="0" applyFont="1" applyBorder="1">
      <alignment vertical="center"/>
    </xf>
    <xf numFmtId="0" fontId="15" fillId="0" borderId="22" xfId="0" applyFont="1" applyBorder="1">
      <alignment vertical="center"/>
    </xf>
    <xf numFmtId="0" fontId="15" fillId="0" borderId="35" xfId="0" applyFont="1" applyBorder="1">
      <alignment vertical="center"/>
    </xf>
    <xf numFmtId="0" fontId="15" fillId="0" borderId="25" xfId="0" applyFont="1" applyBorder="1" applyAlignment="1">
      <alignment horizontal="right" vertical="center"/>
    </xf>
    <xf numFmtId="0" fontId="15" fillId="0" borderId="36" xfId="0" applyFont="1" applyBorder="1" applyAlignment="1">
      <alignment horizontal="right" vertical="center"/>
    </xf>
    <xf numFmtId="0" fontId="15" fillId="0" borderId="37" xfId="0" applyFont="1" applyBorder="1">
      <alignment vertical="center"/>
    </xf>
    <xf numFmtId="0" fontId="15" fillId="0" borderId="38" xfId="0" applyFont="1" applyBorder="1">
      <alignment vertical="center"/>
    </xf>
    <xf numFmtId="0" fontId="15" fillId="0" borderId="39" xfId="0" applyFont="1" applyBorder="1" applyAlignment="1">
      <alignment horizontal="right" vertical="center"/>
    </xf>
    <xf numFmtId="0" fontId="15" fillId="0" borderId="24" xfId="0" applyFont="1" applyBorder="1" applyAlignment="1">
      <alignment horizontal="right" vertical="center"/>
    </xf>
    <xf numFmtId="0" fontId="15" fillId="0" borderId="37" xfId="0" applyFont="1" applyBorder="1" applyAlignment="1">
      <alignment horizontal="right" vertical="center"/>
    </xf>
    <xf numFmtId="0" fontId="15" fillId="0" borderId="27" xfId="0" applyFont="1" applyBorder="1" applyAlignment="1">
      <alignment horizontal="right" vertical="center"/>
    </xf>
    <xf numFmtId="0" fontId="16" fillId="2" borderId="27" xfId="0" applyFont="1" applyFill="1" applyBorder="1" applyAlignment="1">
      <alignment horizontal="right" vertical="center"/>
    </xf>
    <xf numFmtId="0" fontId="16" fillId="0" borderId="37" xfId="0" applyFont="1" applyBorder="1">
      <alignment vertical="center"/>
    </xf>
    <xf numFmtId="0" fontId="15" fillId="0" borderId="40" xfId="0" applyFont="1" applyBorder="1">
      <alignment vertical="center"/>
    </xf>
    <xf numFmtId="0" fontId="15" fillId="3" borderId="41" xfId="0" applyFont="1" applyFill="1" applyBorder="1" applyAlignment="1">
      <alignment horizontal="center" vertical="center" wrapText="1"/>
    </xf>
    <xf numFmtId="0" fontId="15" fillId="0" borderId="42" xfId="0" applyFont="1" applyBorder="1" applyAlignment="1">
      <alignment horizontal="center" vertical="center"/>
    </xf>
    <xf numFmtId="0" fontId="15" fillId="0" borderId="43" xfId="0" applyFont="1" applyBorder="1">
      <alignment vertical="center"/>
    </xf>
    <xf numFmtId="0" fontId="15" fillId="0" borderId="44" xfId="0" applyFont="1" applyBorder="1" applyAlignment="1">
      <alignment horizontal="center" vertical="center"/>
    </xf>
    <xf numFmtId="0" fontId="15" fillId="0" borderId="45" xfId="0" applyFont="1" applyBorder="1" applyAlignment="1">
      <alignment horizontal="center" vertical="center"/>
    </xf>
    <xf numFmtId="0" fontId="15" fillId="4" borderId="44" xfId="0" applyFont="1" applyFill="1" applyBorder="1" applyAlignment="1">
      <alignment horizontal="center" vertical="center"/>
    </xf>
    <xf numFmtId="0" fontId="15" fillId="0" borderId="46" xfId="0" applyFont="1" applyBorder="1" applyAlignment="1">
      <alignment horizontal="center" vertical="center"/>
    </xf>
    <xf numFmtId="0" fontId="15" fillId="0" borderId="47" xfId="0" applyFont="1" applyBorder="1" applyAlignment="1">
      <alignment horizontal="center" vertical="center"/>
    </xf>
    <xf numFmtId="0" fontId="15" fillId="0" borderId="48" xfId="0" applyFont="1" applyBorder="1">
      <alignment vertical="center"/>
    </xf>
    <xf numFmtId="0" fontId="15" fillId="0" borderId="49" xfId="0" applyFont="1" applyBorder="1">
      <alignment vertical="center"/>
    </xf>
    <xf numFmtId="0" fontId="15" fillId="0" borderId="50" xfId="0" applyFont="1" applyBorder="1">
      <alignment vertical="center"/>
    </xf>
    <xf numFmtId="0" fontId="15" fillId="0" borderId="39" xfId="0" applyFont="1" applyBorder="1">
      <alignment vertical="center"/>
    </xf>
    <xf numFmtId="0" fontId="15" fillId="0" borderId="29" xfId="0" applyFont="1" applyBorder="1" applyAlignment="1">
      <alignment horizontal="left" vertical="center"/>
    </xf>
    <xf numFmtId="0" fontId="15" fillId="0" borderId="30" xfId="0" applyFont="1" applyBorder="1" applyAlignment="1">
      <alignment horizontal="left" vertical="center"/>
    </xf>
    <xf numFmtId="0" fontId="16" fillId="0" borderId="33" xfId="0" applyFont="1" applyBorder="1">
      <alignment vertical="center"/>
    </xf>
    <xf numFmtId="0" fontId="16" fillId="2" borderId="33" xfId="0" applyFont="1" applyFill="1" applyBorder="1">
      <alignment vertical="center"/>
    </xf>
    <xf numFmtId="0" fontId="15" fillId="0" borderId="24" xfId="0" applyFont="1" applyBorder="1">
      <alignment vertical="center"/>
    </xf>
    <xf numFmtId="0" fontId="17" fillId="2" borderId="25" xfId="0" applyFont="1" applyFill="1" applyBorder="1" applyAlignment="1">
      <alignment vertical="center" wrapText="1"/>
    </xf>
    <xf numFmtId="0" fontId="17" fillId="5" borderId="25" xfId="0" applyFont="1" applyFill="1" applyBorder="1" applyAlignment="1">
      <alignment vertical="center" wrapText="1"/>
    </xf>
    <xf numFmtId="0" fontId="17" fillId="2" borderId="25" xfId="0" applyFont="1" applyFill="1" applyBorder="1" applyAlignment="1">
      <alignment horizontal="center" vertical="center" wrapText="1"/>
    </xf>
    <xf numFmtId="0" fontId="15" fillId="6" borderId="41" xfId="0" applyFont="1" applyFill="1" applyBorder="1" applyAlignment="1">
      <alignment vertical="center" wrapText="1"/>
    </xf>
    <xf numFmtId="0" fontId="17" fillId="7" borderId="25" xfId="0" applyFont="1" applyFill="1" applyBorder="1" applyAlignment="1">
      <alignment vertical="center" wrapText="1"/>
    </xf>
    <xf numFmtId="0" fontId="17" fillId="8" borderId="25" xfId="0" applyFont="1" applyFill="1" applyBorder="1" applyAlignment="1">
      <alignment vertical="center" wrapText="1"/>
    </xf>
    <xf numFmtId="0" fontId="17" fillId="9" borderId="25" xfId="0" applyFont="1" applyFill="1" applyBorder="1" applyAlignment="1">
      <alignment vertical="center" wrapText="1"/>
    </xf>
    <xf numFmtId="0" fontId="17" fillId="10" borderId="25" xfId="0" applyFont="1" applyFill="1" applyBorder="1" applyAlignment="1">
      <alignment vertical="center" wrapText="1"/>
    </xf>
    <xf numFmtId="0" fontId="17" fillId="11" borderId="25" xfId="0" applyFont="1" applyFill="1" applyBorder="1" applyAlignment="1">
      <alignment vertical="center" wrapText="1"/>
    </xf>
    <xf numFmtId="0" fontId="17" fillId="12" borderId="25" xfId="0" applyFont="1" applyFill="1" applyBorder="1" applyAlignment="1">
      <alignment vertical="center" wrapText="1"/>
    </xf>
    <xf numFmtId="0" fontId="17" fillId="13" borderId="25" xfId="0" applyFont="1" applyFill="1" applyBorder="1" applyAlignment="1">
      <alignment vertical="center" wrapText="1"/>
    </xf>
    <xf numFmtId="0" fontId="17" fillId="14" borderId="25" xfId="0" applyFont="1" applyFill="1" applyBorder="1" applyAlignment="1">
      <alignment vertical="center" wrapText="1"/>
    </xf>
    <xf numFmtId="0" fontId="17" fillId="15" borderId="25" xfId="0" applyFont="1" applyFill="1" applyBorder="1" applyAlignment="1">
      <alignment vertical="center" wrapText="1"/>
    </xf>
    <xf numFmtId="0" fontId="17" fillId="16" borderId="25" xfId="0" applyFont="1" applyFill="1" applyBorder="1" applyAlignment="1">
      <alignment vertical="center" wrapText="1"/>
    </xf>
    <xf numFmtId="0" fontId="17" fillId="17" borderId="25" xfId="0" applyFont="1" applyFill="1" applyBorder="1" applyAlignment="1">
      <alignment vertical="center" wrapText="1"/>
    </xf>
    <xf numFmtId="0" fontId="15" fillId="0" borderId="36" xfId="0" applyFont="1" applyBorder="1">
      <alignment vertical="center"/>
    </xf>
    <xf numFmtId="0" fontId="18" fillId="2" borderId="25" xfId="0" applyFont="1" applyFill="1" applyBorder="1" applyAlignment="1">
      <alignment vertical="center"/>
    </xf>
    <xf numFmtId="0" fontId="19" fillId="0" borderId="25" xfId="0" applyFont="1" applyBorder="1" applyAlignment="1">
      <alignment vertical="center"/>
    </xf>
    <xf numFmtId="0" fontId="19" fillId="0" borderId="25" xfId="0" applyFont="1" applyBorder="1" applyAlignment="1">
      <alignment horizontal="right" vertical="center"/>
    </xf>
    <xf numFmtId="0" fontId="19" fillId="0" borderId="25" xfId="0" applyFont="1" applyBorder="1" applyAlignment="1">
      <alignment horizontal="center" vertical="center"/>
    </xf>
    <xf numFmtId="0" fontId="18" fillId="2" borderId="25" xfId="0" applyFont="1" applyFill="1" applyBorder="1" applyAlignment="1">
      <alignment horizontal="right" vertical="center"/>
    </xf>
    <xf numFmtId="0" fontId="18" fillId="2" borderId="25" xfId="0" applyFont="1" applyFill="1" applyBorder="1" applyAlignment="1">
      <alignment horizontal="center" vertical="center"/>
    </xf>
    <xf numFmtId="178" fontId="19" fillId="0" borderId="25" xfId="0" applyNumberFormat="1" applyFont="1" applyBorder="1" applyAlignment="1">
      <alignment horizontal="right" vertical="center"/>
    </xf>
    <xf numFmtId="14" fontId="19" fillId="0" borderId="25" xfId="0" applyNumberFormat="1" applyFont="1" applyBorder="1" applyAlignment="1">
      <alignment horizontal="right" vertical="center"/>
    </xf>
    <xf numFmtId="0" fontId="19" fillId="0" borderId="25" xfId="0" applyNumberFormat="1" applyFont="1" applyBorder="1" applyAlignment="1">
      <alignment horizontal="right" vertical="center"/>
    </xf>
    <xf numFmtId="22" fontId="19" fillId="0" borderId="25" xfId="0" applyNumberFormat="1" applyFont="1" applyBorder="1" applyAlignment="1">
      <alignment horizontal="right" vertical="center"/>
    </xf>
    <xf numFmtId="14" fontId="19" fillId="0" borderId="25" xfId="0" applyNumberFormat="1" applyFont="1" applyBorder="1" applyAlignment="1">
      <alignment vertical="center"/>
    </xf>
    <xf numFmtId="49" fontId="19" fillId="0" borderId="25" xfId="0" applyNumberFormat="1" applyFont="1" applyBorder="1" applyAlignment="1">
      <alignment horizontal="right" vertical="center"/>
    </xf>
    <xf numFmtId="0" fontId="20" fillId="0" borderId="25" xfId="49" applyFont="1" applyFill="1" applyBorder="1" applyAlignment="1" applyProtection="1">
      <alignment horizontal="center" vertical="center"/>
      <protection hidden="1"/>
    </xf>
    <xf numFmtId="0" fontId="20" fillId="0" borderId="25" xfId="49" applyFont="1" applyBorder="1" applyAlignment="1" applyProtection="1">
      <alignment horizontal="center" vertical="center"/>
      <protection hidden="1"/>
    </xf>
    <xf numFmtId="0" fontId="20" fillId="0" borderId="25" xfId="49" applyNumberFormat="1" applyFont="1" applyBorder="1" applyAlignment="1" applyProtection="1">
      <alignment horizontal="center" vertical="center"/>
      <protection hidden="1"/>
    </xf>
    <xf numFmtId="0" fontId="21" fillId="0" borderId="25" xfId="49" applyFont="1" applyBorder="1" applyAlignment="1" applyProtection="1">
      <alignment horizontal="center" vertical="center"/>
      <protection hidden="1"/>
    </xf>
    <xf numFmtId="179" fontId="20" fillId="0" borderId="25" xfId="49" applyNumberFormat="1" applyFont="1" applyBorder="1" applyAlignment="1" applyProtection="1">
      <alignment horizontal="center" vertical="center"/>
      <protection hidden="1"/>
    </xf>
    <xf numFmtId="180" fontId="20" fillId="0" borderId="25" xfId="49" applyNumberFormat="1" applyFont="1" applyBorder="1" applyAlignment="1">
      <alignment horizontal="center" vertical="center"/>
    </xf>
    <xf numFmtId="22" fontId="20" fillId="0" borderId="25" xfId="49" applyNumberFormat="1" applyFont="1" applyBorder="1" applyAlignment="1">
      <alignment horizontal="center" vertical="center"/>
    </xf>
    <xf numFmtId="0" fontId="22" fillId="0" borderId="25" xfId="49" applyFont="1" applyBorder="1" applyAlignment="1">
      <alignment horizontal="center" vertical="center"/>
    </xf>
    <xf numFmtId="0" fontId="20" fillId="18" borderId="25" xfId="49" applyNumberFormat="1" applyFont="1" applyFill="1" applyBorder="1" applyAlignment="1" applyProtection="1">
      <alignment horizontal="center" vertical="center"/>
      <protection hidden="1"/>
    </xf>
    <xf numFmtId="0" fontId="20" fillId="0" borderId="25" xfId="49" applyFont="1" applyBorder="1" applyAlignment="1">
      <alignment horizontal="center" vertical="center"/>
    </xf>
    <xf numFmtId="0" fontId="20" fillId="0" borderId="25" xfId="49" applyNumberFormat="1" applyFont="1" applyFill="1" applyBorder="1" applyAlignment="1" applyProtection="1">
      <alignment horizontal="center" vertical="center"/>
      <protection hidden="1"/>
    </xf>
    <xf numFmtId="14" fontId="20" fillId="0" borderId="25" xfId="49" applyNumberFormat="1" applyFont="1" applyBorder="1" applyAlignment="1" applyProtection="1">
      <alignment horizontal="center" vertical="center"/>
      <protection hidden="1"/>
    </xf>
    <xf numFmtId="14" fontId="20" fillId="18" borderId="25" xfId="49" applyNumberFormat="1" applyFont="1" applyFill="1" applyBorder="1" applyAlignment="1" applyProtection="1">
      <alignment horizontal="center" vertical="center"/>
      <protection hidden="1"/>
    </xf>
    <xf numFmtId="0" fontId="19" fillId="0" borderId="25" xfId="0" applyFont="1" applyBorder="1" applyAlignment="1">
      <alignment vertical="center" wrapText="1"/>
    </xf>
    <xf numFmtId="0" fontId="19" fillId="0" borderId="25" xfId="0" applyFont="1" applyBorder="1" applyAlignment="1">
      <alignment horizontal="right" vertical="center" wrapText="1"/>
    </xf>
    <xf numFmtId="14" fontId="20" fillId="19" borderId="25" xfId="49" applyNumberFormat="1" applyFont="1" applyFill="1" applyBorder="1" applyAlignment="1" applyProtection="1">
      <alignment horizontal="center" vertical="center"/>
      <protection hidden="1"/>
    </xf>
    <xf numFmtId="0" fontId="20" fillId="18" borderId="25" xfId="49" applyFont="1" applyFill="1" applyBorder="1" applyAlignment="1" applyProtection="1">
      <alignment horizontal="center" vertical="center"/>
      <protection hidden="1"/>
    </xf>
    <xf numFmtId="0" fontId="17" fillId="2" borderId="25" xfId="0" applyFont="1" applyFill="1" applyBorder="1" applyAlignment="1" quotePrefix="1">
      <alignment horizontal="center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千位分隔 2" xfId="50"/>
  </cellStyles>
  <dxfs count="3">
    <dxf>
      <font>
        <color theme="1" tint="0.499984740745262"/>
      </font>
    </dxf>
    <dxf>
      <fill>
        <patternFill patternType="solid">
          <bgColor theme="9"/>
        </patternFill>
      </fill>
    </dxf>
    <dxf>
      <font>
        <color theme="0" tint="-0.349986266670736"/>
      </font>
    </dxf>
  </dxfs>
  <tableStyles count="0" defaultTableStyle="TableStyleMedium2" defaultPivotStyle="PivotStyleLight16"/>
  <colors>
    <mruColors>
      <color rgb="00DF0302"/>
      <color rgb="00DF0000"/>
      <color rgb="006F0BFF"/>
      <color rgb="006FFF7F"/>
      <color rgb="00A6A6A6"/>
      <color rgb="00217346"/>
      <color rgb="001F75C0"/>
      <color rgb="00219B46"/>
      <color rgb="0017C913"/>
      <color rgb="0031E33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4" Type="http://schemas.openxmlformats.org/officeDocument/2006/relationships/image" Target="../media/image7.wmf"/><Relationship Id="rId3" Type="http://schemas.openxmlformats.org/officeDocument/2006/relationships/image" Target="../media/image6.wmf"/><Relationship Id="rId2" Type="http://schemas.openxmlformats.org/officeDocument/2006/relationships/image" Target="../media/image5.wmf"/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</xdr:row>
          <xdr:rowOff>66675</xdr:rowOff>
        </xdr:from>
        <xdr:to>
          <xdr:col>2</xdr:col>
          <xdr:colOff>47625</xdr:colOff>
          <xdr:row>1</xdr:row>
          <xdr:rowOff>342900</xdr:rowOff>
        </xdr:to>
        <xdr:sp>
          <xdr:nvSpPr>
            <xdr:cNvPr id="2051" name="lbLeftYear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295275" y="304800"/>
              <a:ext cx="23812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</xdr:row>
          <xdr:rowOff>57150</xdr:rowOff>
        </xdr:from>
        <xdr:to>
          <xdr:col>5</xdr:col>
          <xdr:colOff>209550</xdr:colOff>
          <xdr:row>1</xdr:row>
          <xdr:rowOff>333375</xdr:rowOff>
        </xdr:to>
        <xdr:sp>
          <xdr:nvSpPr>
            <xdr:cNvPr id="2052" name="lbRightYear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1285875" y="295275"/>
              <a:ext cx="266700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180975</xdr:colOff>
          <xdr:row>0</xdr:row>
          <xdr:rowOff>19050</xdr:rowOff>
        </xdr:from>
        <xdr:to>
          <xdr:col>23</xdr:col>
          <xdr:colOff>209550</xdr:colOff>
          <xdr:row>1</xdr:row>
          <xdr:rowOff>95250</xdr:rowOff>
        </xdr:to>
        <xdr:sp>
          <xdr:nvSpPr>
            <xdr:cNvPr id="2053" name="lbToday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6076950" y="19050"/>
              <a:ext cx="3143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1</xdr:row>
          <xdr:rowOff>66675</xdr:rowOff>
        </xdr:from>
        <xdr:to>
          <xdr:col>3</xdr:col>
          <xdr:colOff>866775</xdr:colOff>
          <xdr:row>1</xdr:row>
          <xdr:rowOff>342900</xdr:rowOff>
        </xdr:to>
        <xdr:sp>
          <xdr:nvSpPr>
            <xdr:cNvPr id="1028" name="lbLeftMonth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2886075" y="390525"/>
              <a:ext cx="37147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1</xdr:row>
          <xdr:rowOff>66675</xdr:rowOff>
        </xdr:from>
        <xdr:to>
          <xdr:col>4</xdr:col>
          <xdr:colOff>609600</xdr:colOff>
          <xdr:row>1</xdr:row>
          <xdr:rowOff>342900</xdr:rowOff>
        </xdr:to>
        <xdr:sp>
          <xdr:nvSpPr>
            <xdr:cNvPr id="1029" name="lbRightMonth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3686175" y="390525"/>
              <a:ext cx="40957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1</xdr:row>
          <xdr:rowOff>57150</xdr:rowOff>
        </xdr:from>
        <xdr:to>
          <xdr:col>1</xdr:col>
          <xdr:colOff>657225</xdr:colOff>
          <xdr:row>1</xdr:row>
          <xdr:rowOff>333375</xdr:rowOff>
        </xdr:to>
        <xdr:sp>
          <xdr:nvSpPr>
            <xdr:cNvPr id="1030" name="lbLeftYea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485775" y="381000"/>
              <a:ext cx="37147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1</xdr:row>
          <xdr:rowOff>57150</xdr:rowOff>
        </xdr:from>
        <xdr:to>
          <xdr:col>2</xdr:col>
          <xdr:colOff>561975</xdr:colOff>
          <xdr:row>1</xdr:row>
          <xdr:rowOff>333375</xdr:rowOff>
        </xdr:to>
        <xdr:sp>
          <xdr:nvSpPr>
            <xdr:cNvPr id="1031" name="lbRightYear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1514475" y="381000"/>
              <a:ext cx="342900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47625</xdr:rowOff>
        </xdr:from>
        <xdr:to>
          <xdr:col>3</xdr:col>
          <xdr:colOff>314325</xdr:colOff>
          <xdr:row>2</xdr:row>
          <xdr:rowOff>0</xdr:rowOff>
        </xdr:to>
        <xdr:sp>
          <xdr:nvSpPr>
            <xdr:cNvPr id="1032" name="lbToday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2390775" y="371475"/>
              <a:ext cx="314325" cy="3048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image" Target="../media/image6.wmf"/><Relationship Id="rId8" Type="http://schemas.openxmlformats.org/officeDocument/2006/relationships/control" Target="../activeX/activeX7.xml"/><Relationship Id="rId7" Type="http://schemas.openxmlformats.org/officeDocument/2006/relationships/control" Target="../activeX/activeX6.xml"/><Relationship Id="rId6" Type="http://schemas.openxmlformats.org/officeDocument/2006/relationships/image" Target="../media/image5.wmf"/><Relationship Id="rId5" Type="http://schemas.openxmlformats.org/officeDocument/2006/relationships/control" Target="../activeX/activeX5.xml"/><Relationship Id="rId4" Type="http://schemas.openxmlformats.org/officeDocument/2006/relationships/image" Target="../media/image4.wmf"/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1" Type="http://schemas.openxmlformats.org/officeDocument/2006/relationships/image" Target="../media/image7.wmf"/><Relationship Id="rId10" Type="http://schemas.openxmlformats.org/officeDocument/2006/relationships/control" Target="../activeX/activeX8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Z2488"/>
  <sheetViews>
    <sheetView workbookViewId="0">
      <selection activeCell="E13" sqref="E13"/>
    </sheetView>
  </sheetViews>
  <sheetFormatPr defaultColWidth="9" defaultRowHeight="20.1" customHeight="1"/>
  <cols>
    <col min="1" max="1" width="17.25" style="112" customWidth="1"/>
    <col min="2" max="2" width="11.375" style="113" customWidth="1"/>
    <col min="3" max="3" width="17.5" style="112" customWidth="1"/>
    <col min="4" max="4" width="4.5" style="112" customWidth="1"/>
    <col min="5" max="5" width="12.25" style="112" customWidth="1"/>
    <col min="6" max="6" width="9" style="112" customWidth="1"/>
    <col min="7" max="7" width="4.5" style="112" customWidth="1"/>
    <col min="8" max="8" width="3" style="112" customWidth="1"/>
    <col min="9" max="9" width="6.375" style="112" customWidth="1"/>
    <col min="10" max="10" width="5.25" style="114" customWidth="1"/>
    <col min="11" max="11" width="3" style="114" customWidth="1"/>
    <col min="12" max="12" width="3" style="112" customWidth="1"/>
    <col min="13" max="14" width="3" style="114" customWidth="1"/>
    <col min="15" max="15" width="4.5" style="112" customWidth="1"/>
    <col min="16" max="18" width="13" style="114" customWidth="1"/>
    <col min="19" max="19" width="5.25" style="114" customWidth="1"/>
    <col min="20" max="20" width="9" style="114"/>
    <col min="21" max="22" width="13" style="114" customWidth="1"/>
    <col min="23" max="23" width="4.375" style="112" customWidth="1"/>
    <col min="24" max="26" width="5.25" style="114" customWidth="1"/>
    <col min="27" max="27" width="5.25" style="112" customWidth="1"/>
    <col min="28" max="28" width="9" style="114" customWidth="1"/>
    <col min="29" max="29" width="5.25" style="114" customWidth="1"/>
    <col min="30" max="31" width="9" style="114" customWidth="1"/>
    <col min="32" max="32" width="15.125" style="114" customWidth="1"/>
    <col min="33" max="33" width="3" style="112" customWidth="1"/>
    <col min="34" max="34" width="9" style="114"/>
    <col min="35" max="35" width="18.875" style="112" customWidth="1"/>
    <col min="36" max="36" width="5.25" style="114" customWidth="1"/>
    <col min="37" max="37" width="2.375" style="112" customWidth="1"/>
    <col min="38" max="39" width="9" style="112"/>
    <col min="40" max="40" width="3.625" style="112" customWidth="1"/>
    <col min="41" max="41" width="9" style="112" customWidth="1"/>
    <col min="42" max="42" width="2.25" style="112" customWidth="1"/>
    <col min="43" max="46" width="12.125" style="112" customWidth="1"/>
    <col min="47" max="47" width="11" style="112" customWidth="1"/>
    <col min="48" max="49" width="13" style="112" customWidth="1"/>
    <col min="50" max="50" width="3.625" style="112" customWidth="1"/>
    <col min="51" max="51" width="17.25" style="112" customWidth="1"/>
    <col min="52" max="16384" width="9" style="112"/>
  </cols>
  <sheetData>
    <row r="1" s="111" customFormat="1" customHeight="1" spans="1:52">
      <c r="A1" s="111" t="s">
        <v>0</v>
      </c>
      <c r="B1" s="115" t="s">
        <v>1</v>
      </c>
      <c r="C1" s="111" t="s">
        <v>2</v>
      </c>
      <c r="E1" s="116" t="s">
        <v>3</v>
      </c>
      <c r="F1" s="116"/>
      <c r="G1" s="116"/>
      <c r="H1" s="116"/>
      <c r="J1" s="116" t="s">
        <v>4</v>
      </c>
      <c r="K1" s="116" t="s">
        <v>5</v>
      </c>
      <c r="L1" s="116"/>
      <c r="M1" s="116" t="s">
        <v>6</v>
      </c>
      <c r="N1" s="116"/>
      <c r="P1" s="116" t="s">
        <v>7</v>
      </c>
      <c r="Q1" s="116" t="s">
        <v>8</v>
      </c>
      <c r="R1" s="116" t="s">
        <v>9</v>
      </c>
      <c r="S1" s="116" t="s">
        <v>10</v>
      </c>
      <c r="T1" s="116" t="s">
        <v>11</v>
      </c>
      <c r="U1" s="116" t="s">
        <v>12</v>
      </c>
      <c r="V1" s="116" t="s">
        <v>13</v>
      </c>
      <c r="X1" s="116" t="s">
        <v>14</v>
      </c>
      <c r="Y1" s="116" t="s">
        <v>15</v>
      </c>
      <c r="Z1" s="116" t="s">
        <v>16</v>
      </c>
      <c r="AB1" s="116" t="s">
        <v>17</v>
      </c>
      <c r="AC1" s="116" t="s">
        <v>18</v>
      </c>
      <c r="AD1" s="116" t="s">
        <v>19</v>
      </c>
      <c r="AE1" s="116" t="s">
        <v>19</v>
      </c>
      <c r="AF1" s="116" t="s">
        <v>20</v>
      </c>
      <c r="AH1" s="116" t="s">
        <v>21</v>
      </c>
      <c r="AI1" s="116" t="s">
        <v>22</v>
      </c>
      <c r="AJ1" s="116" t="s">
        <v>23</v>
      </c>
      <c r="AL1" s="116" t="s">
        <v>24</v>
      </c>
      <c r="AM1" s="116" t="s">
        <v>25</v>
      </c>
      <c r="AO1" s="116" t="s">
        <v>26</v>
      </c>
      <c r="AQ1" s="116" t="s">
        <v>27</v>
      </c>
      <c r="AR1" s="116" t="s">
        <v>28</v>
      </c>
      <c r="AS1" s="116" t="s">
        <v>29</v>
      </c>
      <c r="AT1" s="116" t="s">
        <v>30</v>
      </c>
      <c r="AU1" s="116" t="s">
        <v>31</v>
      </c>
      <c r="AV1" s="116" t="s">
        <v>32</v>
      </c>
      <c r="AW1" s="116" t="s">
        <v>33</v>
      </c>
      <c r="AY1" s="116" t="s">
        <v>34</v>
      </c>
      <c r="AZ1" s="116" t="s">
        <v>35</v>
      </c>
    </row>
    <row r="2" customHeight="1" spans="1:52">
      <c r="A2" s="112" t="s">
        <v>36</v>
      </c>
      <c r="B2" s="117">
        <v>2020</v>
      </c>
      <c r="E2" s="112" t="s">
        <v>37</v>
      </c>
      <c r="F2" s="118">
        <f ca="1">OFFSET(阴历月开始阳历日列,阴历月指针,0)</f>
        <v>43914</v>
      </c>
      <c r="G2" s="118" t="str">
        <f ca="1">OFFSET(阴历月开始阳历日列,阴历月指针,1)</f>
        <v>三月</v>
      </c>
      <c r="H2" s="113">
        <f ca="1">FIND(LEFT(RIGHT(阴历月中文月份,2),1),"正二三四五六七八九十仲腊")</f>
        <v>3</v>
      </c>
      <c r="J2" s="123" t="s">
        <v>16</v>
      </c>
      <c r="K2" s="114" t="str">
        <f ca="1">OFFSET(天干列,年干支天干偏移,0)</f>
        <v>庚</v>
      </c>
      <c r="L2" s="112">
        <f ca="1">IF((MOD(阴历年份-3,10))=0,10,(MOD(阴历年份-3,10)))</f>
        <v>7</v>
      </c>
      <c r="M2" s="124" t="s">
        <v>38</v>
      </c>
      <c r="N2" s="124">
        <f ca="1">IF(MOD(阴历月份+当年正月天干-1,10)=0,10,MOD(阴历月份+当年正月天干-1,10))</f>
        <v>8</v>
      </c>
      <c r="P2" s="125" t="s">
        <v>39</v>
      </c>
      <c r="Q2" s="125" t="s">
        <v>40</v>
      </c>
      <c r="R2" s="125" t="s">
        <v>41</v>
      </c>
      <c r="S2" s="125">
        <v>1</v>
      </c>
      <c r="T2" s="125">
        <v>31</v>
      </c>
      <c r="U2" s="125" t="s">
        <v>42</v>
      </c>
      <c r="V2" s="125" t="str">
        <f>INDEX(IF(月份显示类别顺序=1,英文月份大写集合,IF(月份显示类别顺序=2,英文月份小写集合,IF(月份显示类别顺序=3,英文月份简写集合,中文月份集合))),ROW()-1)</f>
        <v>一月</v>
      </c>
      <c r="X2" s="125" t="s">
        <v>43</v>
      </c>
      <c r="Y2" s="125" t="s">
        <v>44</v>
      </c>
      <c r="Z2" s="125" t="s">
        <v>45</v>
      </c>
      <c r="AB2" s="127">
        <f ca="1" t="shared" ref="AB2:AB25" si="0">MONTH(OFFSET(本年各节气时间列,ROW()-1,0))*100+DAY(OFFSET(本年各节气时间列,ROW()-1,0))</f>
        <v>106</v>
      </c>
      <c r="AC2" s="125" t="s">
        <v>46</v>
      </c>
      <c r="AD2" s="127">
        <v>0</v>
      </c>
      <c r="AE2" s="128">
        <v>0</v>
      </c>
      <c r="AF2" s="129">
        <f>节气初始时刻+节气跨度</f>
        <v>43836.2015</v>
      </c>
      <c r="AH2" s="114">
        <v>101</v>
      </c>
      <c r="AI2" s="112" t="s">
        <v>47</v>
      </c>
      <c r="AJ2" s="114">
        <v>0</v>
      </c>
      <c r="AL2" s="131">
        <v>1229</v>
      </c>
      <c r="AM2" s="131" t="s">
        <v>48</v>
      </c>
      <c r="AO2" s="132" t="s">
        <v>49</v>
      </c>
      <c r="AQ2" s="133" t="s">
        <v>50</v>
      </c>
      <c r="AR2" s="133" t="s">
        <v>51</v>
      </c>
      <c r="AS2" s="133" t="s">
        <v>52</v>
      </c>
      <c r="AT2" s="133" t="s">
        <v>53</v>
      </c>
      <c r="AU2" s="133" t="s">
        <v>54</v>
      </c>
      <c r="AV2" s="133" t="s">
        <v>55</v>
      </c>
      <c r="AW2" s="133" t="str">
        <f>INDEX(IF(星期名称类别顺序=1,星期别简写1集合,IF(星期名称类别顺序=2,星期别简写2集合,IF(星期名称类别顺序=3,星期别全称1集合,IF(星期名称类别顺序=4,星期别全称2集合,IF(星期名称类别顺序=5,星期别中文 集合,星期别短中文集合))))),星期开始于顺序+ROW()-2)</f>
        <v>日</v>
      </c>
      <c r="AY2" s="134">
        <v>1</v>
      </c>
      <c r="AZ2" s="124" t="s">
        <v>56</v>
      </c>
    </row>
    <row r="3" customHeight="1" spans="1:52">
      <c r="A3" s="112" t="s">
        <v>57</v>
      </c>
      <c r="B3" s="117">
        <v>4</v>
      </c>
      <c r="E3" s="112" t="s">
        <v>58</v>
      </c>
      <c r="F3" s="118">
        <f ca="1">OFFSET(阴历月开始阳历日列,阴历月指针+1,0)</f>
        <v>43944</v>
      </c>
      <c r="G3" s="118" t="str">
        <f ca="1">OFFSET(阴历月开始阳历日列,阴历月指针+1,1)</f>
        <v>四月</v>
      </c>
      <c r="H3" s="113">
        <f ca="1">FIND(LEFT(RIGHT(阴历下月中文月份,2),1),"正二三四五六七八九十仲腊")</f>
        <v>4</v>
      </c>
      <c r="J3" s="123" t="s">
        <v>15</v>
      </c>
      <c r="K3" s="114" t="str">
        <f ca="1">OFFSET(地支列,年干支地支偏移,0)</f>
        <v>子</v>
      </c>
      <c r="L3" s="112">
        <f ca="1">IF((MOD(阴历年份-3,12))=0,12,(MOD(阴历年份-3,12)))</f>
        <v>1</v>
      </c>
      <c r="M3" s="124" t="s">
        <v>59</v>
      </c>
      <c r="N3" s="124">
        <f ca="1">IF(MOD(阴历月份+2,12)=0,12,MOD(阴历月份+2,12))</f>
        <v>6</v>
      </c>
      <c r="P3" s="125" t="s">
        <v>60</v>
      </c>
      <c r="Q3" s="125" t="s">
        <v>61</v>
      </c>
      <c r="R3" s="125" t="s">
        <v>62</v>
      </c>
      <c r="S3" s="125">
        <v>2</v>
      </c>
      <c r="T3" s="125">
        <v>28</v>
      </c>
      <c r="U3" s="125" t="s">
        <v>63</v>
      </c>
      <c r="V3" s="125" t="str">
        <f t="shared" ref="V3:V13" si="1">INDEX(IF(月份显示类别顺序=1,英文月份大写集合,IF(月份显示类别顺序=2,英文月份小写集合,IF(月份显示类别顺序=3,英文月份简写集合,中文月份集合))),ROW()-1)</f>
        <v>二月</v>
      </c>
      <c r="X3" s="125" t="s">
        <v>64</v>
      </c>
      <c r="Y3" s="125" t="s">
        <v>65</v>
      </c>
      <c r="Z3" s="125" t="s">
        <v>66</v>
      </c>
      <c r="AB3" s="127">
        <f ca="1" t="shared" si="0"/>
        <v>120</v>
      </c>
      <c r="AC3" s="125" t="s">
        <v>67</v>
      </c>
      <c r="AD3" s="127">
        <v>21208</v>
      </c>
      <c r="AE3" s="128">
        <v>14.7249999999985</v>
      </c>
      <c r="AF3" s="129">
        <f ca="1" t="shared" ref="AF3:AF25" si="2">OFFSET(本年各节气时间列,ROW()-2,0)+OFFSET(节气时差列,ROW()-1,0)</f>
        <v>43850.9265</v>
      </c>
      <c r="AH3" s="114">
        <v>105</v>
      </c>
      <c r="AI3" s="112" t="s">
        <v>68</v>
      </c>
      <c r="AJ3" s="114">
        <v>1985</v>
      </c>
      <c r="AL3" s="125">
        <v>101</v>
      </c>
      <c r="AM3" s="125" t="s">
        <v>69</v>
      </c>
      <c r="AO3" s="132" t="s">
        <v>70</v>
      </c>
      <c r="AQ3" s="133" t="s">
        <v>71</v>
      </c>
      <c r="AR3" s="133" t="s">
        <v>72</v>
      </c>
      <c r="AS3" s="133" t="s">
        <v>73</v>
      </c>
      <c r="AT3" s="133" t="s">
        <v>74</v>
      </c>
      <c r="AU3" s="133" t="s">
        <v>75</v>
      </c>
      <c r="AV3" s="133" t="s">
        <v>76</v>
      </c>
      <c r="AW3" s="133" t="str">
        <f>INDEX(IF(星期名称类别顺序=1,星期别简写1集合,IF(星期名称类别顺序=2,星期别简写2集合,IF(星期名称类别顺序=3,星期别全称1集合,IF(星期名称类别顺序=4,星期别全称2集合,IF(星期名称类别顺序=5,星期别中文 集合,星期别短中文集合))))),星期开始于顺序+ROW()-2)</f>
        <v>一</v>
      </c>
      <c r="AY3" s="134">
        <v>31</v>
      </c>
      <c r="AZ3" s="124" t="s">
        <v>77</v>
      </c>
    </row>
    <row r="4" customHeight="1" spans="1:52">
      <c r="A4" s="112" t="s">
        <v>78</v>
      </c>
      <c r="B4" s="117">
        <f ca="1">DAY(NOW())</f>
        <v>27</v>
      </c>
      <c r="E4" s="112" t="s">
        <v>79</v>
      </c>
      <c r="F4" s="118">
        <f ca="1">OFFSET(阴历月开始阳历日列,阴历月指针+2,0)</f>
        <v>43974</v>
      </c>
      <c r="G4" s="118" t="str">
        <f ca="1">OFFSET(阴历月开始阳历日列,阴历月指针+2,1)</f>
        <v>闰四月</v>
      </c>
      <c r="H4" s="113">
        <f ca="1">FIND(LEFT(RIGHT(阴历下下月中文月份,2),1),"正二三四五六七八九十仲腊")</f>
        <v>4</v>
      </c>
      <c r="J4" s="123" t="s">
        <v>14</v>
      </c>
      <c r="K4" s="114" t="str">
        <f ca="1">OFFSET(生肖列,年干支地支偏移,0)</f>
        <v>鼠</v>
      </c>
      <c r="M4" s="124"/>
      <c r="N4" s="126">
        <f ca="1">IF(((MOD(阴历年份,5)-2)*2-1)&lt;0,((MOD(阴历年份,5)-2)*2-1)+10,((MOD(阴历年份,5)-2)*2-1))</f>
        <v>5</v>
      </c>
      <c r="P4" s="125" t="s">
        <v>80</v>
      </c>
      <c r="Q4" s="125" t="s">
        <v>81</v>
      </c>
      <c r="R4" s="125" t="s">
        <v>82</v>
      </c>
      <c r="S4" s="125">
        <v>3</v>
      </c>
      <c r="T4" s="125">
        <v>31</v>
      </c>
      <c r="U4" s="125" t="s">
        <v>83</v>
      </c>
      <c r="V4" s="125" t="str">
        <f t="shared" si="1"/>
        <v>三月</v>
      </c>
      <c r="X4" s="125" t="s">
        <v>84</v>
      </c>
      <c r="Y4" s="125" t="s">
        <v>85</v>
      </c>
      <c r="Z4" s="125" t="s">
        <v>86</v>
      </c>
      <c r="AB4" s="127">
        <f ca="1" t="shared" si="0"/>
        <v>204</v>
      </c>
      <c r="AC4" s="125" t="s">
        <v>87</v>
      </c>
      <c r="AD4" s="127">
        <v>21259</v>
      </c>
      <c r="AE4" s="128">
        <v>14.7611111111109</v>
      </c>
      <c r="AF4" s="129">
        <f ca="1" t="shared" si="2"/>
        <v>43865.6876111111</v>
      </c>
      <c r="AH4" s="114">
        <v>202</v>
      </c>
      <c r="AI4" s="112" t="s">
        <v>88</v>
      </c>
      <c r="AJ4" s="114">
        <v>1997</v>
      </c>
      <c r="AL4" s="125">
        <v>115</v>
      </c>
      <c r="AM4" s="125" t="s">
        <v>89</v>
      </c>
      <c r="AO4" s="132" t="s">
        <v>90</v>
      </c>
      <c r="AQ4" s="133" t="s">
        <v>91</v>
      </c>
      <c r="AR4" s="133" t="s">
        <v>92</v>
      </c>
      <c r="AS4" s="133" t="s">
        <v>93</v>
      </c>
      <c r="AT4" s="133" t="s">
        <v>94</v>
      </c>
      <c r="AU4" s="133" t="s">
        <v>95</v>
      </c>
      <c r="AV4" s="133" t="s">
        <v>96</v>
      </c>
      <c r="AW4" s="133" t="str">
        <f>INDEX(IF(星期名称类别顺序=1,星期别简写1集合,IF(星期名称类别顺序=2,星期别简写2集合,IF(星期名称类别顺序=3,星期别全称1集合,IF(星期名称类别顺序=4,星期别全称2集合,IF(星期名称类别顺序=5,星期别中文 集合,星期别短中文集合))))),星期开始于顺序+ROW()-2)</f>
        <v>二</v>
      </c>
      <c r="AY4" s="134">
        <v>61</v>
      </c>
      <c r="AZ4" s="124" t="s">
        <v>63</v>
      </c>
    </row>
    <row r="5" customHeight="1" spans="1:52">
      <c r="A5" s="112" t="s">
        <v>97</v>
      </c>
      <c r="B5" s="118">
        <f ca="1">DATE(选择的年,选择的月,选择的日)</f>
        <v>43948</v>
      </c>
      <c r="P5" s="125" t="s">
        <v>98</v>
      </c>
      <c r="Q5" s="125" t="s">
        <v>99</v>
      </c>
      <c r="R5" s="125" t="s">
        <v>100</v>
      </c>
      <c r="S5" s="125">
        <v>4</v>
      </c>
      <c r="T5" s="125">
        <v>30</v>
      </c>
      <c r="U5" s="125" t="s">
        <v>101</v>
      </c>
      <c r="V5" s="125" t="str">
        <f t="shared" si="1"/>
        <v>四月</v>
      </c>
      <c r="X5" s="125" t="s">
        <v>102</v>
      </c>
      <c r="Y5" s="125" t="s">
        <v>59</v>
      </c>
      <c r="Z5" s="125" t="s">
        <v>103</v>
      </c>
      <c r="AB5" s="127">
        <f ca="1" t="shared" si="0"/>
        <v>219</v>
      </c>
      <c r="AC5" s="125" t="s">
        <v>104</v>
      </c>
      <c r="AD5" s="127">
        <v>21369</v>
      </c>
      <c r="AE5" s="128">
        <v>14.8298611111095</v>
      </c>
      <c r="AF5" s="129">
        <f ca="1" t="shared" si="2"/>
        <v>43880.5174722222</v>
      </c>
      <c r="AH5" s="114">
        <v>207</v>
      </c>
      <c r="AI5" s="112" t="s">
        <v>105</v>
      </c>
      <c r="AJ5" s="114">
        <v>1923</v>
      </c>
      <c r="AL5" s="125">
        <v>202</v>
      </c>
      <c r="AM5" s="125" t="s">
        <v>106</v>
      </c>
      <c r="AO5" s="132" t="s">
        <v>107</v>
      </c>
      <c r="AQ5" s="133" t="s">
        <v>108</v>
      </c>
      <c r="AR5" s="133" t="s">
        <v>109</v>
      </c>
      <c r="AS5" s="133" t="s">
        <v>110</v>
      </c>
      <c r="AT5" s="133" t="s">
        <v>111</v>
      </c>
      <c r="AU5" s="133" t="s">
        <v>112</v>
      </c>
      <c r="AV5" s="133" t="s">
        <v>113</v>
      </c>
      <c r="AW5" s="133" t="str">
        <f>INDEX(IF(星期名称类别顺序=1,星期别简写1集合,IF(星期名称类别顺序=2,星期别简写2集合,IF(星期名称类别顺序=3,星期别全称1集合,IF(星期名称类别顺序=4,星期别全称2集合,IF(星期名称类别顺序=5,星期别中文 集合,星期别短中文集合))))),星期开始于顺序+ROW()-2)</f>
        <v>三</v>
      </c>
      <c r="AY5" s="134">
        <v>91</v>
      </c>
      <c r="AZ5" s="124" t="s">
        <v>83</v>
      </c>
    </row>
    <row r="6" customHeight="1" spans="5:52">
      <c r="E6" s="112" t="s">
        <v>114</v>
      </c>
      <c r="F6" s="113">
        <f ca="1">IF(OR(选择的年&gt;2050,选择的年&lt;1900),选择的月,OFFSET(阴历月日期,MATCH(选择的日期,阴历月份选择)-1,2))</f>
        <v>4</v>
      </c>
      <c r="P6" s="125" t="s">
        <v>115</v>
      </c>
      <c r="Q6" s="125" t="s">
        <v>116</v>
      </c>
      <c r="R6" s="125" t="s">
        <v>116</v>
      </c>
      <c r="S6" s="125">
        <v>5</v>
      </c>
      <c r="T6" s="125">
        <v>31</v>
      </c>
      <c r="U6" s="125" t="s">
        <v>117</v>
      </c>
      <c r="V6" s="125" t="str">
        <f t="shared" si="1"/>
        <v>五月</v>
      </c>
      <c r="X6" s="125" t="s">
        <v>118</v>
      </c>
      <c r="Y6" s="125" t="s">
        <v>119</v>
      </c>
      <c r="Z6" s="125" t="s">
        <v>120</v>
      </c>
      <c r="AB6" s="127">
        <f ca="1" t="shared" si="0"/>
        <v>305</v>
      </c>
      <c r="AC6" s="125" t="s">
        <v>121</v>
      </c>
      <c r="AD6" s="127">
        <v>21501</v>
      </c>
      <c r="AE6" s="128">
        <v>14.9222222222234</v>
      </c>
      <c r="AF6" s="129">
        <f ca="1" t="shared" si="2"/>
        <v>43895.4396944444</v>
      </c>
      <c r="AH6" s="114">
        <v>214</v>
      </c>
      <c r="AI6" s="112" t="s">
        <v>122</v>
      </c>
      <c r="AJ6" s="114">
        <v>300</v>
      </c>
      <c r="AL6" s="125">
        <v>208</v>
      </c>
      <c r="AM6" s="125" t="s">
        <v>123</v>
      </c>
      <c r="AO6" s="132" t="s">
        <v>124</v>
      </c>
      <c r="AQ6" s="133" t="s">
        <v>125</v>
      </c>
      <c r="AR6" s="133" t="s">
        <v>126</v>
      </c>
      <c r="AS6" s="133" t="s">
        <v>127</v>
      </c>
      <c r="AT6" s="133" t="s">
        <v>128</v>
      </c>
      <c r="AU6" s="133" t="s">
        <v>129</v>
      </c>
      <c r="AV6" s="133" t="s">
        <v>130</v>
      </c>
      <c r="AW6" s="133" t="str">
        <f>INDEX(IF(星期名称类别顺序=1,星期别简写1集合,IF(星期名称类别顺序=2,星期别简写2集合,IF(星期名称类别顺序=3,星期别全称1集合,IF(星期名称类别顺序=4,星期别全称2集合,IF(星期名称类别顺序=5,星期别中文 集合,星期别短中文集合))))),星期开始于顺序+ROW()-2)</f>
        <v>四</v>
      </c>
      <c r="AY6" s="134">
        <v>120</v>
      </c>
      <c r="AZ6" s="124" t="s">
        <v>101</v>
      </c>
    </row>
    <row r="7" customHeight="1" spans="1:52">
      <c r="A7" s="112" t="s">
        <v>131</v>
      </c>
      <c r="B7" s="117">
        <f ca="1">YEAR(NOW())</f>
        <v>2021</v>
      </c>
      <c r="E7" s="112" t="s">
        <v>132</v>
      </c>
      <c r="F7" s="113">
        <f ca="1">IF(OR(选择的年&gt;2050,选择的年&lt;1900),选择的年,选择的年-(选择的月&lt;阴历月份)*1)</f>
        <v>2020</v>
      </c>
      <c r="P7" s="125" t="s">
        <v>133</v>
      </c>
      <c r="Q7" s="125" t="s">
        <v>134</v>
      </c>
      <c r="R7" s="125" t="s">
        <v>135</v>
      </c>
      <c r="S7" s="125">
        <v>6</v>
      </c>
      <c r="T7" s="125">
        <v>30</v>
      </c>
      <c r="U7" s="125" t="s">
        <v>136</v>
      </c>
      <c r="V7" s="125" t="str">
        <f t="shared" si="1"/>
        <v>六月</v>
      </c>
      <c r="X7" s="125" t="s">
        <v>137</v>
      </c>
      <c r="Y7" s="125" t="s">
        <v>138</v>
      </c>
      <c r="Z7" s="125" t="s">
        <v>139</v>
      </c>
      <c r="AB7" s="127">
        <f ca="1" t="shared" si="0"/>
        <v>320</v>
      </c>
      <c r="AC7" s="125" t="s">
        <v>140</v>
      </c>
      <c r="AD7" s="127">
        <v>21677</v>
      </c>
      <c r="AE7" s="128">
        <v>15.0388888888847</v>
      </c>
      <c r="AF7" s="129">
        <f ca="1" t="shared" si="2"/>
        <v>43910.4785833333</v>
      </c>
      <c r="AH7" s="114">
        <v>305</v>
      </c>
      <c r="AI7" s="112" t="s">
        <v>141</v>
      </c>
      <c r="AJ7" s="114">
        <v>1967</v>
      </c>
      <c r="AL7" s="125">
        <v>303</v>
      </c>
      <c r="AM7" s="125" t="s">
        <v>142</v>
      </c>
      <c r="AO7" s="132" t="s">
        <v>143</v>
      </c>
      <c r="AQ7" s="133" t="s">
        <v>144</v>
      </c>
      <c r="AR7" s="133" t="s">
        <v>145</v>
      </c>
      <c r="AS7" s="133" t="s">
        <v>146</v>
      </c>
      <c r="AT7" s="133" t="s">
        <v>147</v>
      </c>
      <c r="AU7" s="133" t="s">
        <v>148</v>
      </c>
      <c r="AV7" s="133" t="s">
        <v>149</v>
      </c>
      <c r="AW7" s="133" t="str">
        <f>INDEX(IF(星期名称类别顺序=1,星期别简写1集合,IF(星期名称类别顺序=2,星期别简写2集合,IF(星期名称类别顺序=3,星期别全称1集合,IF(星期名称类别顺序=4,星期别全称2集合,IF(星期名称类别顺序=5,星期别中文 集合,星期别短中文集合))))),星期开始于顺序+ROW()-2)</f>
        <v>五</v>
      </c>
      <c r="AY7" s="134">
        <v>149</v>
      </c>
      <c r="AZ7" s="124" t="s">
        <v>117</v>
      </c>
    </row>
    <row r="8" customHeight="1" spans="1:52">
      <c r="A8" s="112" t="s">
        <v>150</v>
      </c>
      <c r="B8" s="117">
        <f ca="1">MONTH(NOW())</f>
        <v>2</v>
      </c>
      <c r="E8" s="112" t="s">
        <v>151</v>
      </c>
      <c r="F8" s="113" t="str">
        <f ca="1">IF(DATE(阴历月基本循环期,选择的月,选择的日)&lt;阴历下月日期,阴历月中文月份,阴历下月中文月份)</f>
        <v>四月</v>
      </c>
      <c r="P8" s="125" t="s">
        <v>152</v>
      </c>
      <c r="Q8" s="125" t="s">
        <v>153</v>
      </c>
      <c r="R8" s="125" t="s">
        <v>154</v>
      </c>
      <c r="S8" s="125">
        <v>7</v>
      </c>
      <c r="T8" s="125">
        <v>31</v>
      </c>
      <c r="U8" s="125" t="s">
        <v>155</v>
      </c>
      <c r="V8" s="125" t="str">
        <f t="shared" si="1"/>
        <v>七月</v>
      </c>
      <c r="X8" s="125" t="s">
        <v>156</v>
      </c>
      <c r="Y8" s="125" t="s">
        <v>157</v>
      </c>
      <c r="Z8" s="125" t="s">
        <v>158</v>
      </c>
      <c r="AB8" s="127">
        <f ca="1" t="shared" si="0"/>
        <v>404</v>
      </c>
      <c r="AC8" s="125" t="s">
        <v>159</v>
      </c>
      <c r="AD8" s="127">
        <v>21853</v>
      </c>
      <c r="AE8" s="128">
        <v>15.1673611111109</v>
      </c>
      <c r="AF8" s="129">
        <f ca="1" t="shared" si="2"/>
        <v>43925.6459444444</v>
      </c>
      <c r="AH8" s="114">
        <v>308</v>
      </c>
      <c r="AI8" s="112" t="s">
        <v>160</v>
      </c>
      <c r="AJ8" s="114">
        <v>1910</v>
      </c>
      <c r="AL8" s="125">
        <v>408</v>
      </c>
      <c r="AM8" s="125" t="s">
        <v>161</v>
      </c>
      <c r="AO8" s="132" t="s">
        <v>162</v>
      </c>
      <c r="AQ8" s="133" t="s">
        <v>163</v>
      </c>
      <c r="AR8" s="133" t="s">
        <v>164</v>
      </c>
      <c r="AS8" s="133" t="s">
        <v>165</v>
      </c>
      <c r="AT8" s="133" t="s">
        <v>166</v>
      </c>
      <c r="AU8" s="133" t="s">
        <v>167</v>
      </c>
      <c r="AV8" s="133" t="s">
        <v>168</v>
      </c>
      <c r="AW8" s="133" t="str">
        <f>INDEX(IF(星期名称类别顺序=1,星期别简写1集合,IF(星期名称类别顺序=2,星期别简写2集合,IF(星期名称类别顺序=3,星期别全称1集合,IF(星期名称类别顺序=4,星期别全称2集合,IF(星期名称类别顺序=5,星期别中文 集合,星期别短中文集合))))),星期开始于顺序+ROW()-2)</f>
        <v>六</v>
      </c>
      <c r="AY8" s="134">
        <v>179</v>
      </c>
      <c r="AZ8" s="124" t="s">
        <v>136</v>
      </c>
    </row>
    <row r="9" customHeight="1" spans="1:52">
      <c r="A9" s="112" t="s">
        <v>169</v>
      </c>
      <c r="B9" s="117">
        <f ca="1">HOUR(NOW())</f>
        <v>16</v>
      </c>
      <c r="E9" s="112" t="s">
        <v>170</v>
      </c>
      <c r="F9" s="113" t="str">
        <f ca="1">OFFSET(阴历日列,阴历位移,0)</f>
        <v>初五</v>
      </c>
      <c r="P9" s="125" t="s">
        <v>171</v>
      </c>
      <c r="Q9" s="125" t="s">
        <v>172</v>
      </c>
      <c r="R9" s="125" t="s">
        <v>173</v>
      </c>
      <c r="S9" s="125">
        <v>8</v>
      </c>
      <c r="T9" s="125">
        <v>31</v>
      </c>
      <c r="U9" s="125" t="s">
        <v>174</v>
      </c>
      <c r="V9" s="125" t="str">
        <f t="shared" si="1"/>
        <v>八月</v>
      </c>
      <c r="X9" s="125" t="s">
        <v>175</v>
      </c>
      <c r="Y9" s="125" t="s">
        <v>176</v>
      </c>
      <c r="Z9" s="125" t="s">
        <v>38</v>
      </c>
      <c r="AB9" s="127">
        <f ca="1" t="shared" si="0"/>
        <v>419</v>
      </c>
      <c r="AC9" s="125" t="s">
        <v>177</v>
      </c>
      <c r="AD9" s="127">
        <v>22054</v>
      </c>
      <c r="AE9" s="128">
        <v>15.2972222222234</v>
      </c>
      <c r="AF9" s="129">
        <f ca="1" t="shared" si="2"/>
        <v>43940.9431666667</v>
      </c>
      <c r="AH9" s="114">
        <v>312</v>
      </c>
      <c r="AI9" s="112" t="s">
        <v>178</v>
      </c>
      <c r="AJ9" s="114">
        <v>1979</v>
      </c>
      <c r="AL9" s="125">
        <v>505</v>
      </c>
      <c r="AM9" s="125" t="s">
        <v>179</v>
      </c>
      <c r="AO9" s="132" t="s">
        <v>180</v>
      </c>
      <c r="AQ9" s="133" t="s">
        <v>50</v>
      </c>
      <c r="AR9" s="133" t="s">
        <v>51</v>
      </c>
      <c r="AS9" s="133" t="s">
        <v>52</v>
      </c>
      <c r="AT9" s="133" t="s">
        <v>53</v>
      </c>
      <c r="AU9" s="133" t="s">
        <v>54</v>
      </c>
      <c r="AV9" s="133" t="s">
        <v>55</v>
      </c>
      <c r="AW9" s="133" t="str">
        <f>INDEX(IF(星期名称类别顺序=1,星期别简写1集合,IF(星期名称类别顺序=2,星期别简写2集合,IF(星期名称类别顺序=3,星期别全称1集合,IF(星期名称类别顺序=4,星期别全称2集合,IF(星期名称类别顺序=5,星期别中文 集合,星期别短中文集合))))),星期开始于顺序+ROW()-2)</f>
        <v>日</v>
      </c>
      <c r="AY9" s="134">
        <v>208</v>
      </c>
      <c r="AZ9" s="124" t="s">
        <v>155</v>
      </c>
    </row>
    <row r="10" customHeight="1" spans="1:52">
      <c r="A10" s="112" t="s">
        <v>181</v>
      </c>
      <c r="B10" s="117">
        <f ca="1">HOUR(NOW())</f>
        <v>16</v>
      </c>
      <c r="E10" s="112" t="s">
        <v>182</v>
      </c>
      <c r="F10" s="112">
        <f ca="1">IF(选择的日期-阴历下月日期&gt;=0,选择的日期-阴历下月日期,DATE(阴历月基本循环期,选择的月,选择的日)-阴历月日期)</f>
        <v>4</v>
      </c>
      <c r="P10" s="125" t="s">
        <v>183</v>
      </c>
      <c r="Q10" s="125" t="s">
        <v>184</v>
      </c>
      <c r="R10" s="125" t="s">
        <v>185</v>
      </c>
      <c r="S10" s="125">
        <v>9</v>
      </c>
      <c r="T10" s="125">
        <v>30</v>
      </c>
      <c r="U10" s="125" t="s">
        <v>186</v>
      </c>
      <c r="V10" s="125" t="str">
        <f t="shared" si="1"/>
        <v>九月</v>
      </c>
      <c r="X10" s="125" t="s">
        <v>187</v>
      </c>
      <c r="Y10" s="125" t="s">
        <v>188</v>
      </c>
      <c r="Z10" s="125" t="s">
        <v>189</v>
      </c>
      <c r="AB10" s="127">
        <f ca="1" t="shared" si="0"/>
        <v>505</v>
      </c>
      <c r="AC10" s="125" t="s">
        <v>190</v>
      </c>
      <c r="AD10" s="127">
        <v>22228</v>
      </c>
      <c r="AE10" s="128">
        <v>15.4250000000029</v>
      </c>
      <c r="AF10" s="129">
        <f ca="1" t="shared" si="2"/>
        <v>43956.3681666667</v>
      </c>
      <c r="AH10" s="114">
        <v>315</v>
      </c>
      <c r="AI10" s="112" t="s">
        <v>191</v>
      </c>
      <c r="AJ10" s="114">
        <v>1990</v>
      </c>
      <c r="AL10" s="125">
        <v>610</v>
      </c>
      <c r="AM10" s="125" t="s">
        <v>192</v>
      </c>
      <c r="AO10" s="132" t="s">
        <v>193</v>
      </c>
      <c r="AY10" s="134">
        <v>238</v>
      </c>
      <c r="AZ10" s="124" t="s">
        <v>174</v>
      </c>
    </row>
    <row r="11" customHeight="1" spans="1:52">
      <c r="A11" s="112" t="s">
        <v>194</v>
      </c>
      <c r="B11" s="117">
        <f ca="1">MINUTE(NOW())</f>
        <v>22</v>
      </c>
      <c r="P11" s="125" t="s">
        <v>195</v>
      </c>
      <c r="Q11" s="125" t="s">
        <v>196</v>
      </c>
      <c r="R11" s="125" t="s">
        <v>197</v>
      </c>
      <c r="S11" s="125">
        <v>10</v>
      </c>
      <c r="T11" s="125">
        <v>31</v>
      </c>
      <c r="U11" s="125" t="s">
        <v>198</v>
      </c>
      <c r="V11" s="125" t="str">
        <f t="shared" si="1"/>
        <v>十月</v>
      </c>
      <c r="X11" s="125" t="s">
        <v>199</v>
      </c>
      <c r="Y11" s="125" t="s">
        <v>200</v>
      </c>
      <c r="Z11" s="125" t="s">
        <v>201</v>
      </c>
      <c r="AB11" s="127">
        <f ca="1" t="shared" si="0"/>
        <v>520</v>
      </c>
      <c r="AC11" s="125" t="s">
        <v>202</v>
      </c>
      <c r="AD11" s="127">
        <v>22402</v>
      </c>
      <c r="AE11" s="128">
        <v>15.5437499999971</v>
      </c>
      <c r="AF11" s="129">
        <f ca="1" t="shared" si="2"/>
        <v>43971.9119166667</v>
      </c>
      <c r="AH11" s="114">
        <v>317</v>
      </c>
      <c r="AI11" s="112" t="s">
        <v>203</v>
      </c>
      <c r="AJ11" s="114">
        <v>1978</v>
      </c>
      <c r="AL11" s="131">
        <v>624</v>
      </c>
      <c r="AM11" s="125" t="s">
        <v>204</v>
      </c>
      <c r="AO11" s="132" t="s">
        <v>205</v>
      </c>
      <c r="AY11" s="134">
        <v>268</v>
      </c>
      <c r="AZ11" s="124" t="s">
        <v>206</v>
      </c>
    </row>
    <row r="12" customHeight="1" spans="16:52">
      <c r="P12" s="125" t="s">
        <v>207</v>
      </c>
      <c r="Q12" s="125" t="s">
        <v>208</v>
      </c>
      <c r="R12" s="125" t="s">
        <v>209</v>
      </c>
      <c r="S12" s="125">
        <v>11</v>
      </c>
      <c r="T12" s="125">
        <v>30</v>
      </c>
      <c r="U12" s="125" t="s">
        <v>210</v>
      </c>
      <c r="V12" s="125" t="str">
        <f t="shared" si="1"/>
        <v>十一月</v>
      </c>
      <c r="X12" s="125" t="s">
        <v>211</v>
      </c>
      <c r="Y12" s="125" t="s">
        <v>212</v>
      </c>
      <c r="Z12" s="130"/>
      <c r="AB12" s="127">
        <f ca="1" t="shared" si="0"/>
        <v>605</v>
      </c>
      <c r="AC12" s="125" t="s">
        <v>213</v>
      </c>
      <c r="AD12" s="127">
        <v>22521</v>
      </c>
      <c r="AE12" s="128">
        <v>15.6604166666657</v>
      </c>
      <c r="AF12" s="129">
        <f ca="1" t="shared" si="2"/>
        <v>43987.5723333333</v>
      </c>
      <c r="AH12" s="114">
        <v>322</v>
      </c>
      <c r="AI12" s="112" t="s">
        <v>214</v>
      </c>
      <c r="AJ12" s="114">
        <v>1993</v>
      </c>
      <c r="AL12" s="125">
        <v>707</v>
      </c>
      <c r="AM12" s="125" t="s">
        <v>215</v>
      </c>
      <c r="AO12" s="132" t="s">
        <v>216</v>
      </c>
      <c r="AY12" s="134">
        <v>297</v>
      </c>
      <c r="AZ12" s="124" t="s">
        <v>186</v>
      </c>
    </row>
    <row r="13" customHeight="1" spans="1:52">
      <c r="A13" s="112" t="s">
        <v>217</v>
      </c>
      <c r="B13" s="113">
        <v>0.9973</v>
      </c>
      <c r="P13" s="125" t="s">
        <v>218</v>
      </c>
      <c r="Q13" s="125" t="s">
        <v>219</v>
      </c>
      <c r="R13" s="125" t="s">
        <v>220</v>
      </c>
      <c r="S13" s="125">
        <v>12</v>
      </c>
      <c r="T13" s="125">
        <v>31</v>
      </c>
      <c r="U13" s="125" t="s">
        <v>221</v>
      </c>
      <c r="V13" s="125" t="str">
        <f t="shared" si="1"/>
        <v>十二月</v>
      </c>
      <c r="X13" s="125" t="s">
        <v>222</v>
      </c>
      <c r="Y13" s="125" t="s">
        <v>223</v>
      </c>
      <c r="Z13" s="130"/>
      <c r="AB13" s="127">
        <f ca="1" t="shared" si="0"/>
        <v>621</v>
      </c>
      <c r="AC13" s="125" t="s">
        <v>224</v>
      </c>
      <c r="AD13" s="127">
        <v>22621</v>
      </c>
      <c r="AE13" s="128">
        <v>15.6743055555562</v>
      </c>
      <c r="AF13" s="129">
        <f ca="1" t="shared" si="2"/>
        <v>44003.2466388889</v>
      </c>
      <c r="AH13" s="114">
        <v>323</v>
      </c>
      <c r="AI13" s="112" t="s">
        <v>225</v>
      </c>
      <c r="AJ13" s="114">
        <v>1951</v>
      </c>
      <c r="AL13" s="125">
        <v>715</v>
      </c>
      <c r="AM13" s="125" t="s">
        <v>226</v>
      </c>
      <c r="AO13" s="132" t="s">
        <v>227</v>
      </c>
      <c r="AY13" s="134">
        <v>327</v>
      </c>
      <c r="AZ13" s="124" t="s">
        <v>198</v>
      </c>
    </row>
    <row r="14" customHeight="1" spans="1:52">
      <c r="A14" s="112" t="s">
        <v>228</v>
      </c>
      <c r="B14" s="113">
        <v>365.2422</v>
      </c>
      <c r="AB14" s="127">
        <f ca="1" t="shared" si="0"/>
        <v>707</v>
      </c>
      <c r="AC14" s="125" t="s">
        <v>229</v>
      </c>
      <c r="AD14" s="127">
        <v>22650</v>
      </c>
      <c r="AE14" s="128">
        <v>15.7583333333387</v>
      </c>
      <c r="AF14" s="129">
        <f ca="1" t="shared" si="2"/>
        <v>44019.0049722222</v>
      </c>
      <c r="AH14" s="114">
        <v>401</v>
      </c>
      <c r="AI14" s="112" t="s">
        <v>230</v>
      </c>
      <c r="AJ14" s="114">
        <v>1564</v>
      </c>
      <c r="AL14" s="125">
        <v>815</v>
      </c>
      <c r="AM14" s="125" t="s">
        <v>231</v>
      </c>
      <c r="AO14" s="132" t="s">
        <v>232</v>
      </c>
      <c r="AY14" s="134">
        <v>357</v>
      </c>
      <c r="AZ14" s="124" t="s">
        <v>233</v>
      </c>
    </row>
    <row r="15" customHeight="1" spans="1:52">
      <c r="A15" s="112" t="s">
        <v>234</v>
      </c>
      <c r="B15" s="113">
        <v>108000</v>
      </c>
      <c r="AB15" s="127">
        <f ca="1" t="shared" si="0"/>
        <v>722</v>
      </c>
      <c r="AC15" s="125" t="s">
        <v>235</v>
      </c>
      <c r="AD15" s="127">
        <v>22646</v>
      </c>
      <c r="AE15" s="128">
        <v>15.6965277777781</v>
      </c>
      <c r="AF15" s="129">
        <f ca="1" t="shared" si="2"/>
        <v>44034.7015</v>
      </c>
      <c r="AH15" s="114">
        <v>407</v>
      </c>
      <c r="AI15" s="112" t="s">
        <v>236</v>
      </c>
      <c r="AJ15" s="114">
        <v>1948</v>
      </c>
      <c r="AL15" s="125">
        <v>909</v>
      </c>
      <c r="AM15" s="125" t="s">
        <v>237</v>
      </c>
      <c r="AO15" s="132" t="s">
        <v>238</v>
      </c>
      <c r="AY15" s="134">
        <v>386</v>
      </c>
      <c r="AZ15" s="124" t="s">
        <v>56</v>
      </c>
    </row>
    <row r="16" customHeight="1" spans="1:52">
      <c r="A16" s="112" t="s">
        <v>239</v>
      </c>
      <c r="B16" s="113">
        <v>29.5633</v>
      </c>
      <c r="AB16" s="127">
        <f ca="1" t="shared" si="0"/>
        <v>807</v>
      </c>
      <c r="AC16" s="125" t="s">
        <v>240</v>
      </c>
      <c r="AD16" s="127">
        <v>22574</v>
      </c>
      <c r="AE16" s="128">
        <v>15.679861111108</v>
      </c>
      <c r="AF16" s="129">
        <f ca="1" t="shared" si="2"/>
        <v>44050.3813611111</v>
      </c>
      <c r="AH16" s="114">
        <v>422</v>
      </c>
      <c r="AI16" s="112" t="s">
        <v>241</v>
      </c>
      <c r="AJ16" s="114">
        <v>1990</v>
      </c>
      <c r="AL16" s="125">
        <v>1208</v>
      </c>
      <c r="AM16" s="125" t="s">
        <v>242</v>
      </c>
      <c r="AO16" s="132" t="s">
        <v>243</v>
      </c>
      <c r="AY16" s="134">
        <v>416</v>
      </c>
      <c r="AZ16" s="124" t="s">
        <v>77</v>
      </c>
    </row>
    <row r="17" customHeight="1" spans="1:52">
      <c r="A17" s="112" t="s">
        <v>244</v>
      </c>
      <c r="B17" s="118">
        <v>31</v>
      </c>
      <c r="AB17" s="127">
        <f ca="1" t="shared" si="0"/>
        <v>822</v>
      </c>
      <c r="AC17" s="125" t="s">
        <v>245</v>
      </c>
      <c r="AD17" s="127">
        <v>22470</v>
      </c>
      <c r="AE17" s="128">
        <v>15.6125000000029</v>
      </c>
      <c r="AF17" s="129">
        <f ca="1" t="shared" si="2"/>
        <v>44065.9938611111</v>
      </c>
      <c r="AH17" s="114">
        <v>423</v>
      </c>
      <c r="AI17" s="112" t="s">
        <v>246</v>
      </c>
      <c r="AJ17" s="114">
        <v>1995</v>
      </c>
      <c r="AL17" s="125">
        <v>1223</v>
      </c>
      <c r="AM17" s="125" t="s">
        <v>247</v>
      </c>
      <c r="AO17" s="132" t="s">
        <v>248</v>
      </c>
      <c r="AY17" s="134">
        <v>445</v>
      </c>
      <c r="AZ17" s="124" t="s">
        <v>63</v>
      </c>
    </row>
    <row r="18" customHeight="1" spans="1:52">
      <c r="A18" s="112" t="s">
        <v>249</v>
      </c>
      <c r="B18" s="113" t="b">
        <f>IF(MOD(选择的年,400)=0,TRUE,IF(AND(MOD(选择的年,4)=0,MOD(选择的年,100)&lt;&gt;0),TRUE,FALSE))</f>
        <v>1</v>
      </c>
      <c r="AB18" s="127">
        <f ca="1" t="shared" si="0"/>
        <v>907</v>
      </c>
      <c r="AC18" s="125" t="s">
        <v>250</v>
      </c>
      <c r="AD18" s="127">
        <v>22317</v>
      </c>
      <c r="AE18" s="128">
        <v>15.5062499999985</v>
      </c>
      <c r="AF18" s="129">
        <f ca="1" t="shared" si="2"/>
        <v>44081.5001111111</v>
      </c>
      <c r="AH18" s="114">
        <v>501</v>
      </c>
      <c r="AI18" s="112" t="s">
        <v>251</v>
      </c>
      <c r="AJ18" s="114">
        <v>1920</v>
      </c>
      <c r="AL18" s="125">
        <v>102</v>
      </c>
      <c r="AM18" s="125" t="s">
        <v>252</v>
      </c>
      <c r="AO18" s="132" t="s">
        <v>253</v>
      </c>
      <c r="AY18" s="134">
        <v>475</v>
      </c>
      <c r="AZ18" s="124" t="s">
        <v>83</v>
      </c>
    </row>
    <row r="19" customHeight="1" spans="1:52">
      <c r="A19" s="112" t="s">
        <v>254</v>
      </c>
      <c r="B19" s="113">
        <f ca="1">OFFSET(每月天数列,选择的月,0)</f>
        <v>30</v>
      </c>
      <c r="AB19" s="127">
        <f ca="1" t="shared" si="0"/>
        <v>922</v>
      </c>
      <c r="AC19" s="125" t="s">
        <v>255</v>
      </c>
      <c r="AD19" s="127">
        <v>22144</v>
      </c>
      <c r="AE19" s="128">
        <v>15.3916666666628</v>
      </c>
      <c r="AF19" s="129">
        <f ca="1" t="shared" si="2"/>
        <v>44096.8917777778</v>
      </c>
      <c r="AH19" s="114">
        <v>504</v>
      </c>
      <c r="AI19" s="112" t="s">
        <v>256</v>
      </c>
      <c r="AJ19" s="114">
        <v>1919</v>
      </c>
      <c r="AL19" s="125">
        <v>103</v>
      </c>
      <c r="AM19" s="125" t="s">
        <v>252</v>
      </c>
      <c r="AO19" s="132" t="s">
        <v>257</v>
      </c>
      <c r="AY19" s="134">
        <v>504</v>
      </c>
      <c r="AZ19" s="124" t="s">
        <v>101</v>
      </c>
    </row>
    <row r="20" customHeight="1" spans="1:52">
      <c r="A20" s="112" t="s">
        <v>258</v>
      </c>
      <c r="B20" s="113">
        <f ca="1">OFFSET(每月天数列,IF(选择的月=1,12,选择的月-1),0)</f>
        <v>31</v>
      </c>
      <c r="AB20" s="127">
        <f ca="1" t="shared" si="0"/>
        <v>1008</v>
      </c>
      <c r="AC20" s="125" t="s">
        <v>259</v>
      </c>
      <c r="AD20" s="127">
        <v>21953</v>
      </c>
      <c r="AE20" s="128">
        <v>15.2562499999985</v>
      </c>
      <c r="AF20" s="129">
        <f ca="1" t="shared" si="2"/>
        <v>44112.1480277778</v>
      </c>
      <c r="AH20" s="114">
        <v>512</v>
      </c>
      <c r="AI20" s="112" t="s">
        <v>260</v>
      </c>
      <c r="AJ20" s="114">
        <v>1910</v>
      </c>
      <c r="AL20" s="125">
        <v>104</v>
      </c>
      <c r="AM20" s="125" t="s">
        <v>252</v>
      </c>
      <c r="AO20" s="132" t="s">
        <v>261</v>
      </c>
      <c r="AY20" s="134">
        <v>533</v>
      </c>
      <c r="AZ20" s="124" t="s">
        <v>117</v>
      </c>
    </row>
    <row r="21" customHeight="1" spans="1:52">
      <c r="A21" s="112" t="s">
        <v>262</v>
      </c>
      <c r="B21" s="113" t="str">
        <f ca="1">OFFSET(英文月份大写列,选择的月,0)</f>
        <v>APRIL</v>
      </c>
      <c r="AB21" s="127">
        <f ca="1" t="shared" si="0"/>
        <v>1023</v>
      </c>
      <c r="AC21" s="125" t="s">
        <v>263</v>
      </c>
      <c r="AD21" s="127">
        <v>21763</v>
      </c>
      <c r="AE21" s="128">
        <v>15.1284722222263</v>
      </c>
      <c r="AF21" s="129">
        <f ca="1" t="shared" si="2"/>
        <v>44127.2765</v>
      </c>
      <c r="AH21" s="114">
        <v>516</v>
      </c>
      <c r="AI21" s="112" t="s">
        <v>264</v>
      </c>
      <c r="AJ21" s="114">
        <v>1990</v>
      </c>
      <c r="AL21" s="125">
        <v>105</v>
      </c>
      <c r="AM21" s="125" t="s">
        <v>252</v>
      </c>
      <c r="AO21" s="132" t="s">
        <v>265</v>
      </c>
      <c r="AY21" s="134">
        <v>563</v>
      </c>
      <c r="AZ21" s="124" t="s">
        <v>136</v>
      </c>
    </row>
    <row r="22" customHeight="1" spans="1:52">
      <c r="A22" s="112" t="s">
        <v>266</v>
      </c>
      <c r="B22" s="113">
        <f>IF(ISERROR(WEEKDAY("1900/2/29")),0,1)</f>
        <v>1</v>
      </c>
      <c r="AB22" s="127">
        <f ca="1" t="shared" si="0"/>
        <v>1107</v>
      </c>
      <c r="AC22" s="125" t="s">
        <v>267</v>
      </c>
      <c r="AD22" s="127">
        <v>21585</v>
      </c>
      <c r="AE22" s="128">
        <v>15</v>
      </c>
      <c r="AF22" s="129">
        <f ca="1" t="shared" si="2"/>
        <v>44142.2765</v>
      </c>
      <c r="AH22" s="114">
        <v>517</v>
      </c>
      <c r="AI22" s="112" t="s">
        <v>268</v>
      </c>
      <c r="AJ22" s="114">
        <v>1965</v>
      </c>
      <c r="AL22" s="125">
        <v>106</v>
      </c>
      <c r="AM22" s="125" t="s">
        <v>252</v>
      </c>
      <c r="AO22" s="132" t="s">
        <v>269</v>
      </c>
      <c r="AY22" s="134">
        <v>592</v>
      </c>
      <c r="AZ22" s="124" t="s">
        <v>155</v>
      </c>
    </row>
    <row r="23" customHeight="1" spans="1:52">
      <c r="A23" s="112" t="s">
        <v>270</v>
      </c>
      <c r="B23" s="119">
        <f>IF(OR(选择的年&gt;2050,选择的年&lt;1900),MOD(选择的年,76)+1900,选择的年)</f>
        <v>2020</v>
      </c>
      <c r="AB23" s="127">
        <f ca="1" t="shared" si="0"/>
        <v>1122</v>
      </c>
      <c r="AC23" s="125" t="s">
        <v>271</v>
      </c>
      <c r="AD23" s="127">
        <v>21429</v>
      </c>
      <c r="AE23" s="128">
        <v>14.8951388888891</v>
      </c>
      <c r="AF23" s="129">
        <f ca="1" t="shared" si="2"/>
        <v>44157.1716388889</v>
      </c>
      <c r="AH23" s="114">
        <v>531</v>
      </c>
      <c r="AI23" s="112" t="s">
        <v>272</v>
      </c>
      <c r="AJ23" s="114">
        <v>1988</v>
      </c>
      <c r="AO23" s="132" t="s">
        <v>273</v>
      </c>
      <c r="AY23" s="134">
        <v>622</v>
      </c>
      <c r="AZ23" s="124" t="s">
        <v>174</v>
      </c>
    </row>
    <row r="24" customHeight="1" spans="1:52">
      <c r="A24" s="112" t="s">
        <v>274</v>
      </c>
      <c r="B24" s="113">
        <f>MATCH(DATE(阴历月基本循环期,选择的月,1),阴历月开始阳历日合集)</f>
        <v>1488</v>
      </c>
      <c r="L24" s="121"/>
      <c r="AB24" s="127">
        <f ca="1" t="shared" si="0"/>
        <v>1206</v>
      </c>
      <c r="AC24" s="125" t="s">
        <v>275</v>
      </c>
      <c r="AD24" s="127">
        <v>21308</v>
      </c>
      <c r="AE24" s="128">
        <v>14.8131944444467</v>
      </c>
      <c r="AF24" s="129">
        <f ca="1" t="shared" si="2"/>
        <v>44171.9848333333</v>
      </c>
      <c r="AH24" s="114">
        <v>601</v>
      </c>
      <c r="AI24" s="112" t="s">
        <v>276</v>
      </c>
      <c r="AJ24" s="114">
        <v>1949</v>
      </c>
      <c r="AO24" s="132" t="s">
        <v>277</v>
      </c>
      <c r="AY24" s="134">
        <v>651</v>
      </c>
      <c r="AZ24" s="124" t="s">
        <v>186</v>
      </c>
    </row>
    <row r="25" customHeight="1" spans="28:52">
      <c r="AB25" s="127">
        <f ca="1" t="shared" si="0"/>
        <v>1221</v>
      </c>
      <c r="AC25" s="125" t="s">
        <v>278</v>
      </c>
      <c r="AD25" s="127">
        <v>21226</v>
      </c>
      <c r="AE25" s="128">
        <v>14.7409722222219</v>
      </c>
      <c r="AF25" s="129">
        <f ca="1" t="shared" si="2"/>
        <v>44186.7258055556</v>
      </c>
      <c r="AH25" s="114">
        <v>605</v>
      </c>
      <c r="AI25" s="112" t="s">
        <v>279</v>
      </c>
      <c r="AJ25" s="114">
        <v>1972</v>
      </c>
      <c r="AO25" s="132" t="s">
        <v>280</v>
      </c>
      <c r="AY25" s="134">
        <v>681</v>
      </c>
      <c r="AZ25" s="124" t="s">
        <v>198</v>
      </c>
    </row>
    <row r="26" customHeight="1" spans="1:52">
      <c r="A26" s="112" t="s">
        <v>281</v>
      </c>
      <c r="B26" s="120">
        <v>6.1375</v>
      </c>
      <c r="AH26" s="114">
        <v>606</v>
      </c>
      <c r="AI26" s="112" t="s">
        <v>282</v>
      </c>
      <c r="AJ26" s="114">
        <v>1997</v>
      </c>
      <c r="AO26" s="132" t="s">
        <v>283</v>
      </c>
      <c r="AY26" s="134">
        <v>711</v>
      </c>
      <c r="AZ26" s="124" t="s">
        <v>233</v>
      </c>
    </row>
    <row r="27" customHeight="1" spans="1:52">
      <c r="A27" s="112" t="s">
        <v>284</v>
      </c>
      <c r="B27" s="113">
        <f>(选择的年-1900)*365.2422+(DATE(选择的年,选择的月,1)&gt;DATE(1900,2,28))*1</f>
        <v>43830.064</v>
      </c>
      <c r="AH27" s="114">
        <v>626</v>
      </c>
      <c r="AI27" s="112" t="s">
        <v>285</v>
      </c>
      <c r="AJ27" s="114">
        <v>1990</v>
      </c>
      <c r="AO27" s="132" t="s">
        <v>286</v>
      </c>
      <c r="AY27" s="134">
        <v>741</v>
      </c>
      <c r="AZ27" s="124" t="s">
        <v>56</v>
      </c>
    </row>
    <row r="28" customHeight="1" spans="1:52">
      <c r="A28" s="112" t="s">
        <v>281</v>
      </c>
      <c r="B28" s="120">
        <v>6.1375</v>
      </c>
      <c r="AH28" s="114">
        <v>701</v>
      </c>
      <c r="AI28" s="112" t="s">
        <v>287</v>
      </c>
      <c r="AJ28" s="114">
        <v>1941</v>
      </c>
      <c r="AO28" s="132" t="s">
        <v>288</v>
      </c>
      <c r="AY28" s="134">
        <v>770</v>
      </c>
      <c r="AZ28" s="124" t="s">
        <v>77</v>
      </c>
    </row>
    <row r="29" customHeight="1" spans="1:52">
      <c r="A29" s="112" t="s">
        <v>289</v>
      </c>
      <c r="B29" s="113" t="str">
        <f ca="1">OFFSET(节气列,选择的月*2-1,0)</f>
        <v>清明</v>
      </c>
      <c r="AH29" s="114">
        <v>707</v>
      </c>
      <c r="AI29" s="112" t="s">
        <v>290</v>
      </c>
      <c r="AJ29" s="114">
        <v>1937</v>
      </c>
      <c r="AO29" s="132" t="s">
        <v>291</v>
      </c>
      <c r="AY29" s="134">
        <v>800</v>
      </c>
      <c r="AZ29" s="124" t="s">
        <v>63</v>
      </c>
    </row>
    <row r="30" customHeight="1" spans="1:52">
      <c r="A30" s="112" t="s">
        <v>292</v>
      </c>
      <c r="B30" s="113" t="str">
        <f ca="1">OFFSET(节气列,选择的月*2,0)</f>
        <v>谷雨</v>
      </c>
      <c r="AH30" s="114">
        <v>711</v>
      </c>
      <c r="AI30" s="112" t="s">
        <v>293</v>
      </c>
      <c r="AJ30" s="114">
        <v>1987</v>
      </c>
      <c r="AO30" s="132" t="s">
        <v>294</v>
      </c>
      <c r="AY30" s="134">
        <v>829</v>
      </c>
      <c r="AZ30" s="124" t="s">
        <v>83</v>
      </c>
    </row>
    <row r="31" customHeight="1" spans="1:52">
      <c r="A31" s="112" t="s">
        <v>295</v>
      </c>
      <c r="B31" s="121">
        <f ca="1">INT(OFFSET(节气列,选择的月*2-1,3))</f>
        <v>43925</v>
      </c>
      <c r="AH31" s="114">
        <v>801</v>
      </c>
      <c r="AI31" s="112" t="s">
        <v>296</v>
      </c>
      <c r="AJ31" s="114">
        <v>1933</v>
      </c>
      <c r="AO31" s="132" t="s">
        <v>297</v>
      </c>
      <c r="AY31" s="134">
        <v>859</v>
      </c>
      <c r="AZ31" s="124" t="s">
        <v>101</v>
      </c>
    </row>
    <row r="32" customHeight="1" spans="1:52">
      <c r="A32" s="112" t="s">
        <v>298</v>
      </c>
      <c r="B32" s="121">
        <f ca="1">INT(OFFSET(节气列,选择的月*2,3))</f>
        <v>43940</v>
      </c>
      <c r="AH32" s="114">
        <v>903</v>
      </c>
      <c r="AI32" s="112" t="s">
        <v>299</v>
      </c>
      <c r="AJ32" s="114">
        <v>1945</v>
      </c>
      <c r="AY32" s="134">
        <v>888</v>
      </c>
      <c r="AZ32" s="124" t="s">
        <v>117</v>
      </c>
    </row>
    <row r="33" customHeight="1" spans="2:52">
      <c r="B33" s="121"/>
      <c r="AH33" s="114">
        <v>908</v>
      </c>
      <c r="AI33" s="112" t="s">
        <v>300</v>
      </c>
      <c r="AJ33" s="114">
        <v>1949</v>
      </c>
      <c r="AY33" s="134">
        <v>917</v>
      </c>
      <c r="AZ33" s="124" t="s">
        <v>136</v>
      </c>
    </row>
    <row r="34" customHeight="1" spans="1:52">
      <c r="A34" s="112" t="s">
        <v>301</v>
      </c>
      <c r="B34" s="113" t="s">
        <v>54</v>
      </c>
      <c r="AH34" s="114">
        <v>910</v>
      </c>
      <c r="AI34" s="112" t="s">
        <v>302</v>
      </c>
      <c r="AJ34" s="114">
        <v>1985</v>
      </c>
      <c r="AY34" s="134">
        <v>947</v>
      </c>
      <c r="AZ34" s="124" t="s">
        <v>155</v>
      </c>
    </row>
    <row r="35" customHeight="1" spans="1:52">
      <c r="A35" s="112" t="s">
        <v>303</v>
      </c>
      <c r="B35" s="113" t="s">
        <v>304</v>
      </c>
      <c r="AH35" s="114">
        <v>918</v>
      </c>
      <c r="AI35" s="112" t="s">
        <v>305</v>
      </c>
      <c r="AJ35" s="114">
        <v>1945</v>
      </c>
      <c r="AY35" s="134">
        <v>976</v>
      </c>
      <c r="AZ35" s="124" t="s">
        <v>174</v>
      </c>
    </row>
    <row r="36" customHeight="1" spans="1:52">
      <c r="A36" s="112" t="s">
        <v>306</v>
      </c>
      <c r="B36" s="113">
        <f>IF(星期开始于="星期日",1,2)</f>
        <v>1</v>
      </c>
      <c r="AH36" s="114">
        <v>920</v>
      </c>
      <c r="AI36" s="112" t="s">
        <v>307</v>
      </c>
      <c r="AJ36" s="114">
        <v>1989</v>
      </c>
      <c r="AY36" s="134">
        <v>1006</v>
      </c>
      <c r="AZ36" s="124" t="s">
        <v>186</v>
      </c>
    </row>
    <row r="37" customHeight="1" spans="1:52">
      <c r="A37" s="112" t="s">
        <v>308</v>
      </c>
      <c r="B37" s="113">
        <f>IF(星期名称类别="1-Sun",1,IF(星期名称类别="2-SUN",2,IF(星期名称类别="3-Sunday",3,IF(星期名称类别="4-SUNDAY",4,IF(星期名称类别="5-星期日",5,6)))))</f>
        <v>6</v>
      </c>
      <c r="AH37" s="114">
        <v>922</v>
      </c>
      <c r="AI37" s="112" t="s">
        <v>309</v>
      </c>
      <c r="AJ37" s="114">
        <v>2007</v>
      </c>
      <c r="AY37" s="134">
        <v>1035</v>
      </c>
      <c r="AZ37" s="124" t="s">
        <v>198</v>
      </c>
    </row>
    <row r="38" customHeight="1" spans="1:52">
      <c r="A38" s="112" t="s">
        <v>310</v>
      </c>
      <c r="B38" s="122" t="s">
        <v>311</v>
      </c>
      <c r="AH38" s="114">
        <v>927</v>
      </c>
      <c r="AI38" s="112" t="s">
        <v>312</v>
      </c>
      <c r="AJ38" s="114">
        <v>1975</v>
      </c>
      <c r="AY38" s="134">
        <v>1065</v>
      </c>
      <c r="AZ38" s="124" t="s">
        <v>233</v>
      </c>
    </row>
    <row r="39" customHeight="1" spans="1:52">
      <c r="A39" s="112" t="s">
        <v>313</v>
      </c>
      <c r="B39" s="112">
        <f>IF(月份显示类别="1-JANUARY",1,IF(月份显示类别="2-January",2,IF(月份显示类别="3-Jan",3,4)))</f>
        <v>4</v>
      </c>
      <c r="AH39" s="114">
        <v>1001</v>
      </c>
      <c r="AI39" s="112" t="s">
        <v>314</v>
      </c>
      <c r="AJ39" s="114">
        <v>1949</v>
      </c>
      <c r="AY39" s="134">
        <v>1095</v>
      </c>
      <c r="AZ39" s="124" t="s">
        <v>56</v>
      </c>
    </row>
    <row r="40" customHeight="1" spans="2:52">
      <c r="B40" s="112"/>
      <c r="AH40" s="114">
        <v>1002</v>
      </c>
      <c r="AI40" s="112" t="s">
        <v>315</v>
      </c>
      <c r="AJ40" s="114">
        <v>0</v>
      </c>
      <c r="AY40" s="134">
        <v>1125</v>
      </c>
      <c r="AZ40" s="124" t="s">
        <v>77</v>
      </c>
    </row>
    <row r="41" customHeight="1" spans="1:52">
      <c r="A41" s="112" t="s">
        <v>316</v>
      </c>
      <c r="B41" s="121">
        <f>DATE(选择的年,选择的月,1)</f>
        <v>43922</v>
      </c>
      <c r="AH41" s="114">
        <v>1003</v>
      </c>
      <c r="AI41" s="112" t="s">
        <v>315</v>
      </c>
      <c r="AJ41" s="114">
        <v>0</v>
      </c>
      <c r="AY41" s="134">
        <v>1154</v>
      </c>
      <c r="AZ41" s="124" t="s">
        <v>63</v>
      </c>
    </row>
    <row r="42" customHeight="1" spans="1:52">
      <c r="A42" s="112" t="s">
        <v>317</v>
      </c>
      <c r="B42" s="121">
        <f ca="1">DATE(选择的年,选择的月,选择的本月天数)</f>
        <v>43951</v>
      </c>
      <c r="AH42" s="114">
        <v>1004</v>
      </c>
      <c r="AI42" s="112" t="s">
        <v>315</v>
      </c>
      <c r="AJ42" s="114">
        <v>0</v>
      </c>
      <c r="AY42" s="134">
        <v>1184</v>
      </c>
      <c r="AZ42" s="124" t="s">
        <v>83</v>
      </c>
    </row>
    <row r="43" customHeight="1" spans="1:52">
      <c r="A43" s="112" t="s">
        <v>318</v>
      </c>
      <c r="B43" s="121">
        <f>选择月首周首日日期</f>
        <v>43919</v>
      </c>
      <c r="AH43" s="114">
        <v>1004</v>
      </c>
      <c r="AI43" s="112" t="s">
        <v>319</v>
      </c>
      <c r="AJ43" s="114">
        <v>1931</v>
      </c>
      <c r="AY43" s="134">
        <v>1213</v>
      </c>
      <c r="AZ43" s="124" t="s">
        <v>101</v>
      </c>
    </row>
    <row r="44" customHeight="1" spans="1:52">
      <c r="A44" s="112" t="s">
        <v>320</v>
      </c>
      <c r="B44" s="112">
        <v>4</v>
      </c>
      <c r="C44" s="112" t="s">
        <v>321</v>
      </c>
      <c r="AH44" s="114">
        <v>1005</v>
      </c>
      <c r="AI44" s="112" t="s">
        <v>315</v>
      </c>
      <c r="AJ44" s="114">
        <v>0</v>
      </c>
      <c r="AY44" s="134">
        <v>1243</v>
      </c>
      <c r="AZ44" s="124" t="s">
        <v>117</v>
      </c>
    </row>
    <row r="45" customHeight="1" spans="1:52">
      <c r="A45" s="112" t="s">
        <v>322</v>
      </c>
      <c r="B45" s="112">
        <v>2</v>
      </c>
      <c r="C45" s="112" t="s">
        <v>321</v>
      </c>
      <c r="AH45" s="114">
        <v>1006</v>
      </c>
      <c r="AI45" s="112" t="s">
        <v>315</v>
      </c>
      <c r="AJ45" s="114">
        <v>0</v>
      </c>
      <c r="AY45" s="134">
        <v>1272</v>
      </c>
      <c r="AZ45" s="124" t="s">
        <v>323</v>
      </c>
    </row>
    <row r="46" customHeight="1" spans="1:52">
      <c r="A46" s="112" t="s">
        <v>324</v>
      </c>
      <c r="B46" s="112">
        <v>2</v>
      </c>
      <c r="C46" s="112" t="s">
        <v>321</v>
      </c>
      <c r="AH46" s="114">
        <v>1007</v>
      </c>
      <c r="AI46" s="112" t="s">
        <v>315</v>
      </c>
      <c r="AJ46" s="114">
        <v>0</v>
      </c>
      <c r="AY46" s="134">
        <v>1301</v>
      </c>
      <c r="AZ46" s="124" t="s">
        <v>136</v>
      </c>
    </row>
    <row r="47" customHeight="1" spans="1:52">
      <c r="A47" s="112" t="s">
        <v>325</v>
      </c>
      <c r="B47" s="112">
        <v>1</v>
      </c>
      <c r="C47" s="112" t="s">
        <v>321</v>
      </c>
      <c r="AH47" s="114">
        <v>1009</v>
      </c>
      <c r="AI47" s="112" t="s">
        <v>326</v>
      </c>
      <c r="AJ47" s="114">
        <v>1969</v>
      </c>
      <c r="AY47" s="134">
        <v>1331</v>
      </c>
      <c r="AZ47" s="124" t="s">
        <v>155</v>
      </c>
    </row>
    <row r="48" customHeight="1" spans="1:52">
      <c r="A48" s="112" t="s">
        <v>327</v>
      </c>
      <c r="B48" s="112"/>
      <c r="C48" s="112" t="s">
        <v>321</v>
      </c>
      <c r="AH48" s="114">
        <v>1010</v>
      </c>
      <c r="AI48" s="112" t="s">
        <v>328</v>
      </c>
      <c r="AJ48" s="114">
        <v>1911</v>
      </c>
      <c r="AY48" s="134">
        <v>1360</v>
      </c>
      <c r="AZ48" s="124" t="s">
        <v>174</v>
      </c>
    </row>
    <row r="49" customHeight="1" spans="34:52">
      <c r="AH49" s="114">
        <v>1014</v>
      </c>
      <c r="AI49" s="112" t="s">
        <v>329</v>
      </c>
      <c r="AJ49" s="114">
        <v>1946</v>
      </c>
      <c r="AY49" s="134">
        <v>1389</v>
      </c>
      <c r="AZ49" s="124" t="s">
        <v>186</v>
      </c>
    </row>
    <row r="50" customHeight="1" spans="1:52">
      <c r="A50" s="112" t="s">
        <v>330</v>
      </c>
      <c r="AH50" s="114">
        <v>1016</v>
      </c>
      <c r="AI50" s="112" t="s">
        <v>331</v>
      </c>
      <c r="AJ50" s="114">
        <v>1981</v>
      </c>
      <c r="AY50" s="134">
        <v>1419</v>
      </c>
      <c r="AZ50" s="124" t="s">
        <v>198</v>
      </c>
    </row>
    <row r="51" customHeight="1" spans="1:52">
      <c r="A51" s="112" t="s">
        <v>332</v>
      </c>
      <c r="B51" s="113">
        <v>1</v>
      </c>
      <c r="AH51" s="114">
        <v>1101</v>
      </c>
      <c r="AI51" s="112" t="s">
        <v>333</v>
      </c>
      <c r="AJ51" s="114">
        <v>0</v>
      </c>
      <c r="AY51" s="134">
        <v>1449</v>
      </c>
      <c r="AZ51" s="124" t="s">
        <v>233</v>
      </c>
    </row>
    <row r="52" customHeight="1" spans="1:52">
      <c r="A52" s="112" t="s">
        <v>334</v>
      </c>
      <c r="B52" s="113">
        <v>1</v>
      </c>
      <c r="AH52" s="114">
        <v>1201</v>
      </c>
      <c r="AI52" s="112" t="s">
        <v>335</v>
      </c>
      <c r="AJ52" s="114">
        <v>1988</v>
      </c>
      <c r="AY52" s="134">
        <v>1478</v>
      </c>
      <c r="AZ52" s="124" t="s">
        <v>56</v>
      </c>
    </row>
    <row r="53" customHeight="1" spans="1:52">
      <c r="A53" s="112" t="s">
        <v>336</v>
      </c>
      <c r="AH53" s="114">
        <v>1206</v>
      </c>
      <c r="AI53" s="112" t="s">
        <v>337</v>
      </c>
      <c r="AJ53" s="114">
        <v>0</v>
      </c>
      <c r="AY53" s="134">
        <v>1508</v>
      </c>
      <c r="AZ53" s="124" t="s">
        <v>77</v>
      </c>
    </row>
    <row r="54" customHeight="1" spans="34:52">
      <c r="AH54" s="114">
        <v>1209</v>
      </c>
      <c r="AI54" s="112" t="s">
        <v>338</v>
      </c>
      <c r="AJ54" s="114">
        <v>1935</v>
      </c>
      <c r="AY54" s="134">
        <v>1538</v>
      </c>
      <c r="AZ54" s="124" t="s">
        <v>63</v>
      </c>
    </row>
    <row r="55" customHeight="1" spans="1:52">
      <c r="A55" s="112" t="s">
        <v>339</v>
      </c>
      <c r="B55" s="113">
        <v>2</v>
      </c>
      <c r="AH55" s="114">
        <v>1210</v>
      </c>
      <c r="AI55" s="112" t="s">
        <v>340</v>
      </c>
      <c r="AJ55" s="114">
        <v>1950</v>
      </c>
      <c r="AY55" s="134">
        <v>1568</v>
      </c>
      <c r="AZ55" s="124" t="s">
        <v>83</v>
      </c>
    </row>
    <row r="56" customHeight="1" spans="1:52">
      <c r="A56" s="112" t="s">
        <v>341</v>
      </c>
      <c r="B56" s="113">
        <v>6</v>
      </c>
      <c r="AH56" s="114">
        <v>1212</v>
      </c>
      <c r="AI56" s="112" t="s">
        <v>342</v>
      </c>
      <c r="AJ56" s="114">
        <v>1935</v>
      </c>
      <c r="AY56" s="134">
        <v>1597</v>
      </c>
      <c r="AZ56" s="124" t="s">
        <v>101</v>
      </c>
    </row>
    <row r="57" customHeight="1" spans="34:52">
      <c r="AH57" s="114">
        <v>1213</v>
      </c>
      <c r="AI57" s="112" t="s">
        <v>343</v>
      </c>
      <c r="AJ57" s="114">
        <v>2014</v>
      </c>
      <c r="AY57" s="134">
        <v>1627</v>
      </c>
      <c r="AZ57" s="124" t="s">
        <v>117</v>
      </c>
    </row>
    <row r="58" customHeight="1" spans="1:52">
      <c r="A58" s="112" t="s">
        <v>344</v>
      </c>
      <c r="B58" s="113">
        <v>10</v>
      </c>
      <c r="AH58" s="114">
        <v>1220</v>
      </c>
      <c r="AI58" s="112" t="s">
        <v>345</v>
      </c>
      <c r="AJ58" s="114">
        <v>1999</v>
      </c>
      <c r="AY58" s="134">
        <v>1656</v>
      </c>
      <c r="AZ58" s="124" t="s">
        <v>136</v>
      </c>
    </row>
    <row r="59" customHeight="1" spans="1:52">
      <c r="A59" s="112" t="s">
        <v>346</v>
      </c>
      <c r="B59" s="113">
        <v>6</v>
      </c>
      <c r="AH59" s="114">
        <v>1224</v>
      </c>
      <c r="AI59" s="112" t="s">
        <v>347</v>
      </c>
      <c r="AJ59" s="114">
        <v>0</v>
      </c>
      <c r="AY59" s="134">
        <v>1685</v>
      </c>
      <c r="AZ59" s="124" t="s">
        <v>155</v>
      </c>
    </row>
    <row r="60" customHeight="1" spans="34:52">
      <c r="AH60" s="114">
        <v>1225</v>
      </c>
      <c r="AI60" s="112" t="s">
        <v>348</v>
      </c>
      <c r="AJ60" s="114">
        <v>0</v>
      </c>
      <c r="AY60" s="134">
        <v>1715</v>
      </c>
      <c r="AZ60" s="124" t="s">
        <v>174</v>
      </c>
    </row>
    <row r="61" customHeight="1" spans="1:52">
      <c r="A61" s="112" t="s">
        <v>349</v>
      </c>
      <c r="B61" s="113">
        <v>18</v>
      </c>
      <c r="AH61" s="114">
        <f>--TEXT(CEILING(DATE(选择的年,5,0),7)+8,"MDD")</f>
        <v>510</v>
      </c>
      <c r="AI61" s="112" t="s">
        <v>350</v>
      </c>
      <c r="AJ61" s="114">
        <v>1914</v>
      </c>
      <c r="AY61" s="134">
        <v>1744</v>
      </c>
      <c r="AZ61" s="124" t="s">
        <v>186</v>
      </c>
    </row>
    <row r="62" customHeight="1" spans="1:52">
      <c r="A62" s="112" t="s">
        <v>351</v>
      </c>
      <c r="B62" s="113">
        <v>6</v>
      </c>
      <c r="AH62" s="114">
        <f>--TEXT(CEILING(DATE(选择的年,6,0),7)+15,"MDD")</f>
        <v>621</v>
      </c>
      <c r="AI62" s="112" t="s">
        <v>352</v>
      </c>
      <c r="AJ62" s="114">
        <v>1912</v>
      </c>
      <c r="AY62" s="134">
        <v>1773</v>
      </c>
      <c r="AZ62" s="124" t="s">
        <v>198</v>
      </c>
    </row>
    <row r="63" customHeight="1" spans="34:52">
      <c r="AH63" s="114">
        <f>--TEXT(CEILING(DATE(选择的年,11,1)-5,7)+26,"MDD")</f>
        <v>1126</v>
      </c>
      <c r="AI63" s="112" t="s">
        <v>353</v>
      </c>
      <c r="AJ63" s="114">
        <v>1941</v>
      </c>
      <c r="AY63" s="134">
        <v>1803</v>
      </c>
      <c r="AZ63" s="124" t="s">
        <v>233</v>
      </c>
    </row>
    <row r="64" customHeight="1" spans="1:52">
      <c r="A64" s="112" t="s">
        <v>354</v>
      </c>
      <c r="B64" s="113">
        <v>2</v>
      </c>
      <c r="AH64" s="114">
        <v>405</v>
      </c>
      <c r="AI64" s="112" t="s">
        <v>355</v>
      </c>
      <c r="AJ64" s="114">
        <v>0</v>
      </c>
      <c r="AY64" s="134">
        <v>1833</v>
      </c>
      <c r="AZ64" s="124" t="s">
        <v>56</v>
      </c>
    </row>
    <row r="65" customHeight="1" spans="1:52">
      <c r="A65" s="112" t="s">
        <v>356</v>
      </c>
      <c r="B65" s="113">
        <v>15</v>
      </c>
      <c r="AH65" s="114">
        <v>321</v>
      </c>
      <c r="AI65" s="112" t="s">
        <v>357</v>
      </c>
      <c r="AY65" s="134">
        <v>1862</v>
      </c>
      <c r="AZ65" s="124" t="s">
        <v>77</v>
      </c>
    </row>
    <row r="66" customHeight="1" spans="34:52">
      <c r="AH66" s="114">
        <v>324</v>
      </c>
      <c r="AI66" s="112" t="s">
        <v>358</v>
      </c>
      <c r="AY66" s="134">
        <v>1892</v>
      </c>
      <c r="AZ66" s="124" t="s">
        <v>63</v>
      </c>
    </row>
    <row r="67" customHeight="1" spans="1:52">
      <c r="A67" s="112" t="s">
        <v>359</v>
      </c>
      <c r="B67" s="113">
        <v>10</v>
      </c>
      <c r="AH67" s="114">
        <v>426</v>
      </c>
      <c r="AI67" s="112" t="s">
        <v>360</v>
      </c>
      <c r="AY67" s="134">
        <v>1922</v>
      </c>
      <c r="AZ67" s="124" t="s">
        <v>83</v>
      </c>
    </row>
    <row r="68" customHeight="1" spans="1:52">
      <c r="A68" s="112" t="s">
        <v>361</v>
      </c>
      <c r="B68" s="113">
        <v>15</v>
      </c>
      <c r="AH68" s="114">
        <v>508</v>
      </c>
      <c r="AI68" s="112" t="s">
        <v>362</v>
      </c>
      <c r="AY68" s="134">
        <v>1951</v>
      </c>
      <c r="AZ68" s="124" t="s">
        <v>101</v>
      </c>
    </row>
    <row r="69" customHeight="1" spans="34:52">
      <c r="AH69" s="114">
        <v>515</v>
      </c>
      <c r="AI69" s="112" t="s">
        <v>363</v>
      </c>
      <c r="AY69" s="134">
        <v>1981</v>
      </c>
      <c r="AZ69" s="124" t="s">
        <v>117</v>
      </c>
    </row>
    <row r="70" customHeight="1" spans="1:52">
      <c r="A70" s="112" t="s">
        <v>364</v>
      </c>
      <c r="B70" s="113">
        <v>18</v>
      </c>
      <c r="AH70" s="114">
        <v>518</v>
      </c>
      <c r="AI70" s="112" t="s">
        <v>365</v>
      </c>
      <c r="AY70" s="134">
        <v>2011</v>
      </c>
      <c r="AZ70" s="124" t="s">
        <v>136</v>
      </c>
    </row>
    <row r="71" customHeight="1" spans="1:52">
      <c r="A71" s="112" t="s">
        <v>366</v>
      </c>
      <c r="B71" s="113">
        <v>15</v>
      </c>
      <c r="AH71" s="114">
        <v>617</v>
      </c>
      <c r="AI71" s="112" t="s">
        <v>367</v>
      </c>
      <c r="AY71" s="134">
        <v>2040</v>
      </c>
      <c r="AZ71" s="124" t="s">
        <v>155</v>
      </c>
    </row>
    <row r="72" customHeight="1" spans="34:52">
      <c r="AH72" s="114">
        <v>620</v>
      </c>
      <c r="AI72" s="112" t="s">
        <v>368</v>
      </c>
      <c r="AY72" s="134">
        <v>2069</v>
      </c>
      <c r="AZ72" s="124" t="s">
        <v>174</v>
      </c>
    </row>
    <row r="73" customHeight="1" spans="1:52">
      <c r="A73" s="112" t="s">
        <v>369</v>
      </c>
      <c r="B73" s="113">
        <v>2</v>
      </c>
      <c r="AH73" s="114">
        <v>623</v>
      </c>
      <c r="AI73" s="112" t="s">
        <v>370</v>
      </c>
      <c r="AY73" s="134">
        <v>2099</v>
      </c>
      <c r="AZ73" s="124" t="s">
        <v>186</v>
      </c>
    </row>
    <row r="74" customHeight="1" spans="1:52">
      <c r="A74" s="112" t="s">
        <v>371</v>
      </c>
      <c r="B74" s="113">
        <v>24</v>
      </c>
      <c r="AH74" s="114">
        <v>916</v>
      </c>
      <c r="AI74" s="112" t="s">
        <v>372</v>
      </c>
      <c r="AY74" s="134">
        <v>2128</v>
      </c>
      <c r="AZ74" s="124" t="s">
        <v>198</v>
      </c>
    </row>
    <row r="75" customHeight="1" spans="34:52">
      <c r="AH75" s="114">
        <v>1015</v>
      </c>
      <c r="AI75" s="112" t="s">
        <v>373</v>
      </c>
      <c r="AY75" s="134">
        <v>2158</v>
      </c>
      <c r="AZ75" s="124" t="s">
        <v>233</v>
      </c>
    </row>
    <row r="76" customHeight="1" spans="1:52">
      <c r="A76" s="112" t="s">
        <v>374</v>
      </c>
      <c r="B76" s="113">
        <v>10</v>
      </c>
      <c r="AH76" s="114">
        <v>1017</v>
      </c>
      <c r="AI76" s="112" t="s">
        <v>375</v>
      </c>
      <c r="AY76" s="134">
        <v>2187</v>
      </c>
      <c r="AZ76" s="124" t="s">
        <v>56</v>
      </c>
    </row>
    <row r="77" customHeight="1" spans="1:52">
      <c r="A77" s="112" t="s">
        <v>376</v>
      </c>
      <c r="B77" s="113">
        <v>24</v>
      </c>
      <c r="AH77" s="114">
        <v>1114</v>
      </c>
      <c r="AI77" s="112" t="s">
        <v>377</v>
      </c>
      <c r="AY77" s="134">
        <v>2217</v>
      </c>
      <c r="AZ77" s="124" t="s">
        <v>77</v>
      </c>
    </row>
    <row r="78" customHeight="1" spans="34:52">
      <c r="AH78" s="114">
        <v>1203</v>
      </c>
      <c r="AI78" s="112" t="s">
        <v>378</v>
      </c>
      <c r="AY78" s="134">
        <v>2246</v>
      </c>
      <c r="AZ78" s="124" t="s">
        <v>63</v>
      </c>
    </row>
    <row r="79" customHeight="1" spans="1:52">
      <c r="A79" s="112" t="s">
        <v>379</v>
      </c>
      <c r="B79" s="113">
        <v>18</v>
      </c>
      <c r="AH79" s="114">
        <v>1204</v>
      </c>
      <c r="AI79" s="112" t="s">
        <v>380</v>
      </c>
      <c r="AY79" s="134">
        <v>2276</v>
      </c>
      <c r="AZ79" s="124" t="s">
        <v>83</v>
      </c>
    </row>
    <row r="80" customHeight="1" spans="1:52">
      <c r="A80" s="112" t="s">
        <v>381</v>
      </c>
      <c r="B80" s="113">
        <v>24</v>
      </c>
      <c r="AH80" s="114">
        <v>1205</v>
      </c>
      <c r="AI80" s="112" t="s">
        <v>382</v>
      </c>
      <c r="AY80" s="134">
        <v>2306</v>
      </c>
      <c r="AZ80" s="124" t="s">
        <v>101</v>
      </c>
    </row>
    <row r="81" customHeight="1" spans="34:52">
      <c r="AH81" s="114">
        <v>1207</v>
      </c>
      <c r="AI81" s="112" t="s">
        <v>383</v>
      </c>
      <c r="AY81" s="134">
        <v>2335</v>
      </c>
      <c r="AZ81" s="124" t="s">
        <v>384</v>
      </c>
    </row>
    <row r="82" customHeight="1" spans="1:52">
      <c r="A82" s="112" t="s">
        <v>385</v>
      </c>
      <c r="B82" s="113">
        <v>2</v>
      </c>
      <c r="AY82" s="134">
        <v>2365</v>
      </c>
      <c r="AZ82" s="124" t="s">
        <v>117</v>
      </c>
    </row>
    <row r="83" customHeight="1" spans="1:52">
      <c r="A83" s="112" t="s">
        <v>386</v>
      </c>
      <c r="B83" s="113">
        <v>33</v>
      </c>
      <c r="AY83" s="134">
        <v>2394</v>
      </c>
      <c r="AZ83" s="124" t="s">
        <v>136</v>
      </c>
    </row>
    <row r="84" customHeight="1" spans="51:52">
      <c r="AY84" s="134">
        <v>2424</v>
      </c>
      <c r="AZ84" s="124" t="s">
        <v>155</v>
      </c>
    </row>
    <row r="85" customHeight="1" spans="1:52">
      <c r="A85" s="112" t="s">
        <v>387</v>
      </c>
      <c r="B85" s="113">
        <v>10</v>
      </c>
      <c r="AY85" s="134">
        <v>2453</v>
      </c>
      <c r="AZ85" s="124" t="s">
        <v>174</v>
      </c>
    </row>
    <row r="86" customHeight="1" spans="1:52">
      <c r="A86" s="112" t="s">
        <v>388</v>
      </c>
      <c r="B86" s="113">
        <v>33</v>
      </c>
      <c r="AY86" s="134">
        <v>2483</v>
      </c>
      <c r="AZ86" s="124" t="s">
        <v>186</v>
      </c>
    </row>
    <row r="87" customHeight="1" spans="51:52">
      <c r="AY87" s="134">
        <v>2512</v>
      </c>
      <c r="AZ87" s="124" t="s">
        <v>198</v>
      </c>
    </row>
    <row r="88" customHeight="1" spans="1:52">
      <c r="A88" s="112" t="s">
        <v>389</v>
      </c>
      <c r="B88" s="113">
        <v>18</v>
      </c>
      <c r="AY88" s="134">
        <v>2542</v>
      </c>
      <c r="AZ88" s="124" t="s">
        <v>233</v>
      </c>
    </row>
    <row r="89" customHeight="1" spans="1:52">
      <c r="A89" s="112" t="s">
        <v>390</v>
      </c>
      <c r="B89" s="113">
        <v>33</v>
      </c>
      <c r="AY89" s="134">
        <v>2571</v>
      </c>
      <c r="AZ89" s="124" t="s">
        <v>56</v>
      </c>
    </row>
    <row r="90" customHeight="1" spans="51:52">
      <c r="AY90" s="134">
        <v>2601</v>
      </c>
      <c r="AZ90" s="124" t="s">
        <v>77</v>
      </c>
    </row>
    <row r="91" customHeight="1" spans="51:52">
      <c r="AY91" s="134">
        <v>2630</v>
      </c>
      <c r="AZ91" s="124" t="s">
        <v>63</v>
      </c>
    </row>
    <row r="92" customHeight="1" spans="51:52">
      <c r="AY92" s="134">
        <v>2660</v>
      </c>
      <c r="AZ92" s="124" t="s">
        <v>83</v>
      </c>
    </row>
    <row r="93" customHeight="1" spans="51:52">
      <c r="AY93" s="134">
        <v>2689</v>
      </c>
      <c r="AZ93" s="124" t="s">
        <v>101</v>
      </c>
    </row>
    <row r="94" customHeight="1" spans="51:52">
      <c r="AY94" s="134">
        <v>2719</v>
      </c>
      <c r="AZ94" s="124" t="s">
        <v>117</v>
      </c>
    </row>
    <row r="95" customHeight="1" spans="51:52">
      <c r="AY95" s="134">
        <v>2748</v>
      </c>
      <c r="AZ95" s="124" t="s">
        <v>136</v>
      </c>
    </row>
    <row r="96" customHeight="1" spans="51:52">
      <c r="AY96" s="134">
        <v>2778</v>
      </c>
      <c r="AZ96" s="124" t="s">
        <v>155</v>
      </c>
    </row>
    <row r="97" customHeight="1" spans="51:52">
      <c r="AY97" s="134">
        <v>2808</v>
      </c>
      <c r="AZ97" s="124" t="s">
        <v>174</v>
      </c>
    </row>
    <row r="98" customHeight="1" spans="51:52">
      <c r="AY98" s="134">
        <v>2837</v>
      </c>
      <c r="AZ98" s="124" t="s">
        <v>186</v>
      </c>
    </row>
    <row r="99" customHeight="1" spans="51:52">
      <c r="AY99" s="134">
        <v>2867</v>
      </c>
      <c r="AZ99" s="124" t="s">
        <v>198</v>
      </c>
    </row>
    <row r="100" customHeight="1" spans="51:52">
      <c r="AY100" s="134">
        <v>2896</v>
      </c>
      <c r="AZ100" s="124" t="s">
        <v>233</v>
      </c>
    </row>
    <row r="101" customHeight="1" spans="51:52">
      <c r="AY101" s="134">
        <v>2926</v>
      </c>
      <c r="AZ101" s="124" t="s">
        <v>56</v>
      </c>
    </row>
    <row r="102" customHeight="1" spans="51:52">
      <c r="AY102" s="134">
        <v>2955</v>
      </c>
      <c r="AZ102" s="124" t="s">
        <v>77</v>
      </c>
    </row>
    <row r="103" customHeight="1" spans="51:52">
      <c r="AY103" s="134">
        <v>2985</v>
      </c>
      <c r="AZ103" s="124" t="s">
        <v>63</v>
      </c>
    </row>
    <row r="104" customHeight="1" spans="51:52">
      <c r="AY104" s="134">
        <v>3014</v>
      </c>
      <c r="AZ104" s="124" t="s">
        <v>83</v>
      </c>
    </row>
    <row r="105" customHeight="1" spans="51:52">
      <c r="AY105" s="134">
        <v>3043</v>
      </c>
      <c r="AZ105" s="124" t="s">
        <v>101</v>
      </c>
    </row>
    <row r="106" customHeight="1" spans="51:52">
      <c r="AY106" s="134">
        <v>3073</v>
      </c>
      <c r="AZ106" s="124" t="s">
        <v>117</v>
      </c>
    </row>
    <row r="107" customHeight="1" spans="51:52">
      <c r="AY107" s="134">
        <v>3103</v>
      </c>
      <c r="AZ107" s="124" t="s">
        <v>136</v>
      </c>
    </row>
    <row r="108" customHeight="1" spans="51:52">
      <c r="AY108" s="135">
        <v>3132</v>
      </c>
      <c r="AZ108" s="124" t="s">
        <v>155</v>
      </c>
    </row>
    <row r="109" customHeight="1" spans="51:52">
      <c r="AY109" s="134">
        <v>3162</v>
      </c>
      <c r="AZ109" s="124" t="s">
        <v>174</v>
      </c>
    </row>
    <row r="110" customHeight="1" spans="51:52">
      <c r="AY110" s="134">
        <v>3191</v>
      </c>
      <c r="AZ110" s="124" t="s">
        <v>186</v>
      </c>
    </row>
    <row r="111" customHeight="1" spans="51:52">
      <c r="AY111" s="134">
        <v>3221</v>
      </c>
      <c r="AZ111" s="124" t="s">
        <v>198</v>
      </c>
    </row>
    <row r="112" customHeight="1" spans="51:52">
      <c r="AY112" s="134">
        <v>3251</v>
      </c>
      <c r="AZ112" s="124" t="s">
        <v>233</v>
      </c>
    </row>
    <row r="113" customHeight="1" spans="51:52">
      <c r="AY113" s="134">
        <v>3280</v>
      </c>
      <c r="AZ113" s="124" t="s">
        <v>56</v>
      </c>
    </row>
    <row r="114" customHeight="1" spans="51:52">
      <c r="AY114" s="134">
        <v>3310</v>
      </c>
      <c r="AZ114" s="124" t="s">
        <v>77</v>
      </c>
    </row>
    <row r="115" customHeight="1" spans="51:52">
      <c r="AY115" s="134">
        <v>3339</v>
      </c>
      <c r="AZ115" s="124" t="s">
        <v>63</v>
      </c>
    </row>
    <row r="116" customHeight="1" spans="51:52">
      <c r="AY116" s="134">
        <v>3369</v>
      </c>
      <c r="AZ116" s="124" t="s">
        <v>391</v>
      </c>
    </row>
    <row r="117" customHeight="1" spans="51:52">
      <c r="AY117" s="134">
        <v>3398</v>
      </c>
      <c r="AZ117" s="124" t="s">
        <v>83</v>
      </c>
    </row>
    <row r="118" customHeight="1" spans="51:52">
      <c r="AY118" s="134">
        <v>3427</v>
      </c>
      <c r="AZ118" s="124" t="s">
        <v>101</v>
      </c>
    </row>
    <row r="119" customHeight="1" spans="51:52">
      <c r="AY119" s="134">
        <v>3457</v>
      </c>
      <c r="AZ119" s="124" t="s">
        <v>117</v>
      </c>
    </row>
    <row r="120" customHeight="1" spans="51:52">
      <c r="AY120" s="134">
        <v>3486</v>
      </c>
      <c r="AZ120" s="124" t="s">
        <v>136</v>
      </c>
    </row>
    <row r="121" customHeight="1" spans="51:52">
      <c r="AY121" s="134">
        <v>3516</v>
      </c>
      <c r="AZ121" s="124" t="s">
        <v>155</v>
      </c>
    </row>
    <row r="122" customHeight="1" spans="51:52">
      <c r="AY122" s="134">
        <v>3545</v>
      </c>
      <c r="AZ122" s="124" t="s">
        <v>174</v>
      </c>
    </row>
    <row r="123" customHeight="1" spans="51:52">
      <c r="AY123" s="134">
        <v>3575</v>
      </c>
      <c r="AZ123" s="124" t="s">
        <v>186</v>
      </c>
    </row>
    <row r="124" customHeight="1" spans="51:52">
      <c r="AY124" s="134">
        <v>3605</v>
      </c>
      <c r="AZ124" s="124" t="s">
        <v>198</v>
      </c>
    </row>
    <row r="125" customHeight="1" spans="51:52">
      <c r="AY125" s="134">
        <v>3635</v>
      </c>
      <c r="AZ125" s="124" t="s">
        <v>233</v>
      </c>
    </row>
    <row r="126" customHeight="1" spans="51:52">
      <c r="AY126" s="134">
        <v>3664</v>
      </c>
      <c r="AZ126" s="124" t="s">
        <v>56</v>
      </c>
    </row>
    <row r="127" customHeight="1" spans="51:52">
      <c r="AY127" s="134">
        <v>3694</v>
      </c>
      <c r="AZ127" s="124" t="s">
        <v>77</v>
      </c>
    </row>
    <row r="128" customHeight="1" spans="51:52">
      <c r="AY128" s="134">
        <v>3723</v>
      </c>
      <c r="AZ128" s="124" t="s">
        <v>63</v>
      </c>
    </row>
    <row r="129" customHeight="1" spans="51:52">
      <c r="AY129" s="134">
        <v>3753</v>
      </c>
      <c r="AZ129" s="124" t="s">
        <v>83</v>
      </c>
    </row>
    <row r="130" customHeight="1" spans="51:52">
      <c r="AY130" s="134">
        <v>3782</v>
      </c>
      <c r="AZ130" s="124" t="s">
        <v>101</v>
      </c>
    </row>
    <row r="131" customHeight="1" spans="51:52">
      <c r="AY131" s="134">
        <v>3811</v>
      </c>
      <c r="AZ131" s="124" t="s">
        <v>117</v>
      </c>
    </row>
    <row r="132" customHeight="1" spans="51:52">
      <c r="AY132" s="134">
        <v>3841</v>
      </c>
      <c r="AZ132" s="124" t="s">
        <v>136</v>
      </c>
    </row>
    <row r="133" customHeight="1" spans="51:52">
      <c r="AY133" s="134">
        <v>3870</v>
      </c>
      <c r="AZ133" s="124" t="s">
        <v>155</v>
      </c>
    </row>
    <row r="134" customHeight="1" spans="51:52">
      <c r="AY134" s="134">
        <v>3900</v>
      </c>
      <c r="AZ134" s="124" t="s">
        <v>174</v>
      </c>
    </row>
    <row r="135" customHeight="1" spans="51:52">
      <c r="AY135" s="134">
        <v>3929</v>
      </c>
      <c r="AZ135" s="124" t="s">
        <v>186</v>
      </c>
    </row>
    <row r="136" customHeight="1" spans="51:52">
      <c r="AY136" s="134">
        <v>3959</v>
      </c>
      <c r="AZ136" s="124" t="s">
        <v>198</v>
      </c>
    </row>
    <row r="137" customHeight="1" spans="51:52">
      <c r="AY137" s="134">
        <v>3989</v>
      </c>
      <c r="AZ137" s="124" t="s">
        <v>233</v>
      </c>
    </row>
    <row r="138" customHeight="1" spans="51:52">
      <c r="AY138" s="134">
        <v>4019</v>
      </c>
      <c r="AZ138" s="124" t="s">
        <v>56</v>
      </c>
    </row>
    <row r="139" customHeight="1" spans="51:52">
      <c r="AY139" s="134">
        <v>4048</v>
      </c>
      <c r="AZ139" s="124" t="s">
        <v>77</v>
      </c>
    </row>
    <row r="140" customHeight="1" spans="51:52">
      <c r="AY140" s="134">
        <v>4078</v>
      </c>
      <c r="AZ140" s="124" t="s">
        <v>63</v>
      </c>
    </row>
    <row r="141" customHeight="1" spans="51:52">
      <c r="AY141" s="134">
        <v>4107</v>
      </c>
      <c r="AZ141" s="124" t="s">
        <v>83</v>
      </c>
    </row>
    <row r="142" customHeight="1" spans="51:52">
      <c r="AY142" s="134">
        <v>4137</v>
      </c>
      <c r="AZ142" s="124" t="s">
        <v>101</v>
      </c>
    </row>
    <row r="143" customHeight="1" spans="51:52">
      <c r="AY143" s="134">
        <v>4166</v>
      </c>
      <c r="AZ143" s="124" t="s">
        <v>117</v>
      </c>
    </row>
    <row r="144" customHeight="1" spans="51:52">
      <c r="AY144" s="134">
        <v>4195</v>
      </c>
      <c r="AZ144" s="124" t="s">
        <v>136</v>
      </c>
    </row>
    <row r="145" customHeight="1" spans="51:52">
      <c r="AY145" s="134">
        <v>4225</v>
      </c>
      <c r="AZ145" s="124" t="s">
        <v>392</v>
      </c>
    </row>
    <row r="146" customHeight="1" spans="51:52">
      <c r="AY146" s="134">
        <v>4254</v>
      </c>
      <c r="AZ146" s="124" t="s">
        <v>155</v>
      </c>
    </row>
    <row r="147" customHeight="1" spans="51:52">
      <c r="AY147" s="134">
        <v>4283</v>
      </c>
      <c r="AZ147" s="124" t="s">
        <v>174</v>
      </c>
    </row>
    <row r="148" customHeight="1" spans="51:52">
      <c r="AY148" s="134">
        <v>4313</v>
      </c>
      <c r="AZ148" s="124" t="s">
        <v>186</v>
      </c>
    </row>
    <row r="149" customHeight="1" spans="51:52">
      <c r="AY149" s="134">
        <v>4343</v>
      </c>
      <c r="AZ149" s="124" t="s">
        <v>198</v>
      </c>
    </row>
    <row r="150" customHeight="1" spans="51:52">
      <c r="AY150" s="134">
        <v>4372</v>
      </c>
      <c r="AZ150" s="124" t="s">
        <v>233</v>
      </c>
    </row>
    <row r="151" customHeight="1" spans="51:52">
      <c r="AY151" s="134">
        <v>4402</v>
      </c>
      <c r="AZ151" s="124" t="s">
        <v>56</v>
      </c>
    </row>
    <row r="152" customHeight="1" spans="51:52">
      <c r="AY152" s="134">
        <v>4432</v>
      </c>
      <c r="AZ152" s="124" t="s">
        <v>77</v>
      </c>
    </row>
    <row r="153" customHeight="1" spans="51:52">
      <c r="AY153" s="134">
        <v>4462</v>
      </c>
      <c r="AZ153" s="124" t="s">
        <v>63</v>
      </c>
    </row>
    <row r="154" customHeight="1" spans="51:52">
      <c r="AY154" s="134">
        <v>4491</v>
      </c>
      <c r="AZ154" s="124" t="s">
        <v>83</v>
      </c>
    </row>
    <row r="155" customHeight="1" spans="51:52">
      <c r="AY155" s="134">
        <v>4521</v>
      </c>
      <c r="AZ155" s="124" t="s">
        <v>101</v>
      </c>
    </row>
    <row r="156" customHeight="1" spans="51:52">
      <c r="AY156" s="134">
        <v>4550</v>
      </c>
      <c r="AZ156" s="124" t="s">
        <v>117</v>
      </c>
    </row>
    <row r="157" customHeight="1" spans="51:52">
      <c r="AY157" s="134">
        <v>4579</v>
      </c>
      <c r="AZ157" s="124" t="s">
        <v>136</v>
      </c>
    </row>
    <row r="158" customHeight="1" spans="51:52">
      <c r="AY158" s="134">
        <v>4609</v>
      </c>
      <c r="AZ158" s="124" t="s">
        <v>155</v>
      </c>
    </row>
    <row r="159" customHeight="1" spans="51:52">
      <c r="AY159" s="134">
        <v>4638</v>
      </c>
      <c r="AZ159" s="124" t="s">
        <v>174</v>
      </c>
    </row>
    <row r="160" customHeight="1" spans="51:52">
      <c r="AY160" s="134">
        <v>4667</v>
      </c>
      <c r="AZ160" s="124" t="s">
        <v>186</v>
      </c>
    </row>
    <row r="161" customHeight="1" spans="51:52">
      <c r="AY161" s="134">
        <v>4697</v>
      </c>
      <c r="AZ161" s="124" t="s">
        <v>198</v>
      </c>
    </row>
    <row r="162" customHeight="1" spans="51:52">
      <c r="AY162" s="134">
        <v>4727</v>
      </c>
      <c r="AZ162" s="124" t="s">
        <v>233</v>
      </c>
    </row>
    <row r="163" customHeight="1" spans="51:52">
      <c r="AY163" s="134">
        <v>4756</v>
      </c>
      <c r="AZ163" s="124" t="s">
        <v>56</v>
      </c>
    </row>
    <row r="164" customHeight="1" spans="51:52">
      <c r="AY164" s="134">
        <v>4786</v>
      </c>
      <c r="AZ164" s="124" t="s">
        <v>77</v>
      </c>
    </row>
    <row r="165" customHeight="1" spans="51:52">
      <c r="AY165" s="134">
        <v>4816</v>
      </c>
      <c r="AZ165" s="124" t="s">
        <v>63</v>
      </c>
    </row>
    <row r="166" customHeight="1" spans="51:52">
      <c r="AY166" s="134">
        <v>4846</v>
      </c>
      <c r="AZ166" s="124" t="s">
        <v>83</v>
      </c>
    </row>
    <row r="167" customHeight="1" spans="51:52">
      <c r="AY167" s="134">
        <v>4875</v>
      </c>
      <c r="AZ167" s="124" t="s">
        <v>101</v>
      </c>
    </row>
    <row r="168" customHeight="1" spans="51:52">
      <c r="AY168" s="134">
        <v>4905</v>
      </c>
      <c r="AZ168" s="124" t="s">
        <v>117</v>
      </c>
    </row>
    <row r="169" customHeight="1" spans="51:52">
      <c r="AY169" s="134">
        <v>4934</v>
      </c>
      <c r="AZ169" s="124" t="s">
        <v>136</v>
      </c>
    </row>
    <row r="170" customHeight="1" spans="51:52">
      <c r="AY170" s="134">
        <v>4963</v>
      </c>
      <c r="AZ170" s="124" t="s">
        <v>155</v>
      </c>
    </row>
    <row r="171" customHeight="1" spans="51:52">
      <c r="AY171" s="134">
        <v>4993</v>
      </c>
      <c r="AZ171" s="124" t="s">
        <v>174</v>
      </c>
    </row>
    <row r="172" customHeight="1" spans="51:52">
      <c r="AY172" s="134">
        <v>5022</v>
      </c>
      <c r="AZ172" s="124" t="s">
        <v>186</v>
      </c>
    </row>
    <row r="173" customHeight="1" spans="51:52">
      <c r="AY173" s="134">
        <v>5051</v>
      </c>
      <c r="AZ173" s="124" t="s">
        <v>198</v>
      </c>
    </row>
    <row r="174" customHeight="1" spans="51:52">
      <c r="AY174" s="134">
        <v>5081</v>
      </c>
      <c r="AZ174" s="124" t="s">
        <v>233</v>
      </c>
    </row>
    <row r="175" customHeight="1" spans="51:52">
      <c r="AY175" s="134">
        <v>5110</v>
      </c>
      <c r="AZ175" s="124" t="s">
        <v>56</v>
      </c>
    </row>
    <row r="176" customHeight="1" spans="51:52">
      <c r="AY176" s="134">
        <v>5140</v>
      </c>
      <c r="AZ176" s="124" t="s">
        <v>77</v>
      </c>
    </row>
    <row r="177" customHeight="1" spans="51:52">
      <c r="AY177" s="134">
        <v>5170</v>
      </c>
      <c r="AZ177" s="124" t="s">
        <v>63</v>
      </c>
    </row>
    <row r="178" customHeight="1" spans="51:52">
      <c r="AY178" s="134">
        <v>5200</v>
      </c>
      <c r="AZ178" s="124" t="s">
        <v>83</v>
      </c>
    </row>
    <row r="179" customHeight="1" spans="51:52">
      <c r="AY179" s="134">
        <v>5229</v>
      </c>
      <c r="AZ179" s="124" t="s">
        <v>101</v>
      </c>
    </row>
    <row r="180" customHeight="1" spans="51:52">
      <c r="AY180" s="134">
        <v>5259</v>
      </c>
      <c r="AZ180" s="124" t="s">
        <v>117</v>
      </c>
    </row>
    <row r="181" customHeight="1" spans="51:52">
      <c r="AY181" s="134">
        <v>5288</v>
      </c>
      <c r="AZ181" s="124" t="s">
        <v>323</v>
      </c>
    </row>
    <row r="182" customHeight="1" spans="51:52">
      <c r="AY182" s="134">
        <v>5318</v>
      </c>
      <c r="AZ182" s="124" t="s">
        <v>136</v>
      </c>
    </row>
    <row r="183" customHeight="1" spans="51:52">
      <c r="AY183" s="134">
        <v>5347</v>
      </c>
      <c r="AZ183" s="124" t="s">
        <v>155</v>
      </c>
    </row>
    <row r="184" customHeight="1" spans="51:52">
      <c r="AY184" s="134">
        <v>5377</v>
      </c>
      <c r="AZ184" s="124" t="s">
        <v>174</v>
      </c>
    </row>
    <row r="185" customHeight="1" spans="51:52">
      <c r="AY185" s="134">
        <v>5406</v>
      </c>
      <c r="AZ185" s="124" t="s">
        <v>186</v>
      </c>
    </row>
    <row r="186" customHeight="1" spans="51:52">
      <c r="AY186" s="134">
        <v>5435</v>
      </c>
      <c r="AZ186" s="124" t="s">
        <v>198</v>
      </c>
    </row>
    <row r="187" customHeight="1" spans="51:52">
      <c r="AY187" s="134">
        <v>5465</v>
      </c>
      <c r="AZ187" s="124" t="s">
        <v>233</v>
      </c>
    </row>
    <row r="188" customHeight="1" spans="51:52">
      <c r="AY188" s="134">
        <v>5494</v>
      </c>
      <c r="AZ188" s="124" t="s">
        <v>56</v>
      </c>
    </row>
    <row r="189" customHeight="1" spans="51:52">
      <c r="AY189" s="134">
        <v>5524</v>
      </c>
      <c r="AZ189" s="124" t="s">
        <v>77</v>
      </c>
    </row>
    <row r="190" customHeight="1" spans="51:52">
      <c r="AY190" s="134">
        <v>5554</v>
      </c>
      <c r="AZ190" s="124" t="s">
        <v>63</v>
      </c>
    </row>
    <row r="191" customHeight="1" spans="51:52">
      <c r="AY191" s="134">
        <v>5583</v>
      </c>
      <c r="AZ191" s="124" t="s">
        <v>83</v>
      </c>
    </row>
    <row r="192" customHeight="1" spans="1:52">
      <c r="A192" s="136" t="s">
        <v>393</v>
      </c>
      <c r="B192" s="136">
        <f ca="1">IF(选择的日期&gt;阴历下月日期,选择的日期-阴历下月日期,IF(选择的日期&lt;阴历月日期,IF(选择的日期&lt;DATE(1900,3,1),30,29)-阴历月日期+选择的日期,选择的日期-阴历月日期))</f>
        <v>4</v>
      </c>
      <c r="C192" s="136" t="s">
        <v>394</v>
      </c>
      <c r="AY192" s="134">
        <v>5613</v>
      </c>
      <c r="AZ192" s="124" t="s">
        <v>101</v>
      </c>
    </row>
    <row r="193" customHeight="1" spans="1:52">
      <c r="A193" s="136" t="s">
        <v>395</v>
      </c>
      <c r="B193" s="136"/>
      <c r="C193" s="136" t="s">
        <v>396</v>
      </c>
      <c r="AY193" s="134">
        <v>5643</v>
      </c>
      <c r="AZ193" s="124" t="s">
        <v>117</v>
      </c>
    </row>
    <row r="194" customHeight="1" spans="1:52">
      <c r="A194" s="136" t="s">
        <v>397</v>
      </c>
      <c r="B194" s="136"/>
      <c r="C194" s="136" t="s">
        <v>398</v>
      </c>
      <c r="AY194" s="134">
        <v>5672</v>
      </c>
      <c r="AZ194" s="124" t="s">
        <v>136</v>
      </c>
    </row>
    <row r="195" customHeight="1" spans="1:52">
      <c r="A195" s="136" t="s">
        <v>399</v>
      </c>
      <c r="B195" s="136"/>
      <c r="C195" s="136" t="s">
        <v>400</v>
      </c>
      <c r="AY195" s="134">
        <v>5702</v>
      </c>
      <c r="AZ195" s="124" t="s">
        <v>155</v>
      </c>
    </row>
    <row r="196" customHeight="1" spans="1:52">
      <c r="A196" s="136" t="s">
        <v>401</v>
      </c>
      <c r="B196" s="137"/>
      <c r="C196" s="136" t="s">
        <v>402</v>
      </c>
      <c r="AY196" s="134">
        <v>5731</v>
      </c>
      <c r="AZ196" s="124" t="s">
        <v>174</v>
      </c>
    </row>
    <row r="197" customHeight="1" spans="51:52">
      <c r="AY197" s="134">
        <v>5761</v>
      </c>
      <c r="AZ197" s="124" t="s">
        <v>186</v>
      </c>
    </row>
    <row r="198" customHeight="1" spans="51:52">
      <c r="AY198" s="134">
        <v>5790</v>
      </c>
      <c r="AZ198" s="124" t="s">
        <v>198</v>
      </c>
    </row>
    <row r="199" customHeight="1" spans="51:52">
      <c r="AY199" s="134">
        <v>5820</v>
      </c>
      <c r="AZ199" s="124" t="s">
        <v>233</v>
      </c>
    </row>
    <row r="200" customHeight="1" spans="51:52">
      <c r="AY200" s="134">
        <v>5849</v>
      </c>
      <c r="AZ200" s="124" t="s">
        <v>56</v>
      </c>
    </row>
    <row r="201" customHeight="1" spans="51:52">
      <c r="AY201" s="134">
        <v>5878</v>
      </c>
      <c r="AZ201" s="124" t="s">
        <v>77</v>
      </c>
    </row>
    <row r="202" customHeight="1" spans="51:52">
      <c r="AY202" s="134">
        <v>5908</v>
      </c>
      <c r="AZ202" s="124" t="s">
        <v>63</v>
      </c>
    </row>
    <row r="203" customHeight="1" spans="51:52">
      <c r="AY203" s="134">
        <v>5938</v>
      </c>
      <c r="AZ203" s="124" t="s">
        <v>83</v>
      </c>
    </row>
    <row r="204" customHeight="1" spans="51:52">
      <c r="AY204" s="134">
        <v>5967</v>
      </c>
      <c r="AZ204" s="124" t="s">
        <v>101</v>
      </c>
    </row>
    <row r="205" customHeight="1" spans="51:52">
      <c r="AY205" s="134">
        <v>5997</v>
      </c>
      <c r="AZ205" s="124" t="s">
        <v>117</v>
      </c>
    </row>
    <row r="206" customHeight="1" spans="51:52">
      <c r="AY206" s="134">
        <v>6026</v>
      </c>
      <c r="AZ206" s="124" t="s">
        <v>136</v>
      </c>
    </row>
    <row r="207" customHeight="1" spans="51:52">
      <c r="AY207" s="134">
        <v>6056</v>
      </c>
      <c r="AZ207" s="124" t="s">
        <v>155</v>
      </c>
    </row>
    <row r="208" customHeight="1" spans="51:52">
      <c r="AY208" s="134">
        <v>6086</v>
      </c>
      <c r="AZ208" s="124" t="s">
        <v>174</v>
      </c>
    </row>
    <row r="209" customHeight="1" spans="51:52">
      <c r="AY209" s="134">
        <v>6115</v>
      </c>
      <c r="AZ209" s="124" t="s">
        <v>186</v>
      </c>
    </row>
    <row r="210" customHeight="1" spans="51:52">
      <c r="AY210" s="134">
        <v>6145</v>
      </c>
      <c r="AZ210" s="124" t="s">
        <v>198</v>
      </c>
    </row>
    <row r="211" customHeight="1" spans="51:52">
      <c r="AY211" s="134">
        <v>6174</v>
      </c>
      <c r="AZ211" s="124" t="s">
        <v>233</v>
      </c>
    </row>
    <row r="212" customHeight="1" spans="51:52">
      <c r="AY212" s="134">
        <v>6204</v>
      </c>
      <c r="AZ212" s="124" t="s">
        <v>56</v>
      </c>
    </row>
    <row r="213" customHeight="1" spans="51:52">
      <c r="AY213" s="134">
        <v>6233</v>
      </c>
      <c r="AZ213" s="124" t="s">
        <v>77</v>
      </c>
    </row>
    <row r="214" customHeight="1" spans="51:52">
      <c r="AY214" s="134">
        <v>6263</v>
      </c>
      <c r="AZ214" s="124" t="s">
        <v>63</v>
      </c>
    </row>
    <row r="215" customHeight="1" spans="51:52">
      <c r="AY215" s="134">
        <v>6292</v>
      </c>
      <c r="AZ215" s="124" t="s">
        <v>391</v>
      </c>
    </row>
    <row r="216" customHeight="1" spans="51:52">
      <c r="AY216" s="134">
        <v>6321</v>
      </c>
      <c r="AZ216" s="124" t="s">
        <v>83</v>
      </c>
    </row>
    <row r="217" customHeight="1" spans="51:52">
      <c r="AY217" s="134">
        <v>6351</v>
      </c>
      <c r="AZ217" s="124" t="s">
        <v>101</v>
      </c>
    </row>
    <row r="218" customHeight="1" spans="51:52">
      <c r="AY218" s="134">
        <v>6380</v>
      </c>
      <c r="AZ218" s="124" t="s">
        <v>117</v>
      </c>
    </row>
    <row r="219" customHeight="1" spans="51:52">
      <c r="AY219" s="134">
        <v>6410</v>
      </c>
      <c r="AZ219" s="124" t="s">
        <v>136</v>
      </c>
    </row>
    <row r="220" customHeight="1" spans="51:52">
      <c r="AY220" s="134">
        <v>6440</v>
      </c>
      <c r="AZ220" s="124" t="s">
        <v>155</v>
      </c>
    </row>
    <row r="221" customHeight="1" spans="51:52">
      <c r="AY221" s="134">
        <v>6469</v>
      </c>
      <c r="AZ221" s="124" t="s">
        <v>174</v>
      </c>
    </row>
    <row r="222" customHeight="1" spans="51:52">
      <c r="AY222" s="134">
        <v>6499</v>
      </c>
      <c r="AZ222" s="124" t="s">
        <v>186</v>
      </c>
    </row>
    <row r="223" customHeight="1" spans="51:52">
      <c r="AY223" s="134">
        <v>6529</v>
      </c>
      <c r="AZ223" s="124" t="s">
        <v>198</v>
      </c>
    </row>
    <row r="224" customHeight="1" spans="51:52">
      <c r="AY224" s="134">
        <v>6558</v>
      </c>
      <c r="AZ224" s="124" t="s">
        <v>233</v>
      </c>
    </row>
    <row r="225" customHeight="1" spans="51:52">
      <c r="AY225" s="134">
        <v>6588</v>
      </c>
      <c r="AZ225" s="124" t="s">
        <v>56</v>
      </c>
    </row>
    <row r="226" customHeight="1" spans="51:52">
      <c r="AY226" s="134">
        <v>6617</v>
      </c>
      <c r="AZ226" s="124" t="s">
        <v>77</v>
      </c>
    </row>
    <row r="227" customHeight="1" spans="51:52">
      <c r="AY227" s="134">
        <v>6647</v>
      </c>
      <c r="AZ227" s="124" t="s">
        <v>63</v>
      </c>
    </row>
    <row r="228" customHeight="1" spans="51:52">
      <c r="AY228" s="134">
        <v>6676</v>
      </c>
      <c r="AZ228" s="124" t="s">
        <v>83</v>
      </c>
    </row>
    <row r="229" customHeight="1" spans="51:52">
      <c r="AY229" s="134">
        <v>6705</v>
      </c>
      <c r="AZ229" s="124" t="s">
        <v>101</v>
      </c>
    </row>
    <row r="230" customHeight="1" spans="51:52">
      <c r="AY230" s="134">
        <v>6735</v>
      </c>
      <c r="AZ230" s="124" t="s">
        <v>117</v>
      </c>
    </row>
    <row r="231" customHeight="1" spans="51:52">
      <c r="AY231" s="134">
        <v>6764</v>
      </c>
      <c r="AZ231" s="124" t="s">
        <v>136</v>
      </c>
    </row>
    <row r="232" customHeight="1" spans="51:52">
      <c r="AY232" s="134">
        <v>6794</v>
      </c>
      <c r="AZ232" s="124" t="s">
        <v>155</v>
      </c>
    </row>
    <row r="233" customHeight="1" spans="51:52">
      <c r="AY233" s="134">
        <v>6823</v>
      </c>
      <c r="AZ233" s="124" t="s">
        <v>174</v>
      </c>
    </row>
    <row r="234" customHeight="1" spans="51:52">
      <c r="AY234" s="134">
        <v>6853</v>
      </c>
      <c r="AZ234" s="124" t="s">
        <v>186</v>
      </c>
    </row>
    <row r="235" customHeight="1" spans="51:52">
      <c r="AY235" s="134">
        <v>6883</v>
      </c>
      <c r="AZ235" s="124" t="s">
        <v>198</v>
      </c>
    </row>
    <row r="236" customHeight="1" spans="51:52">
      <c r="AY236" s="134">
        <v>6912</v>
      </c>
      <c r="AZ236" s="124" t="s">
        <v>233</v>
      </c>
    </row>
    <row r="237" customHeight="1" spans="51:52">
      <c r="AY237" s="134">
        <v>6942</v>
      </c>
      <c r="AZ237" s="124" t="s">
        <v>56</v>
      </c>
    </row>
    <row r="238" customHeight="1" spans="51:52">
      <c r="AY238" s="134">
        <v>6972</v>
      </c>
      <c r="AZ238" s="124" t="s">
        <v>77</v>
      </c>
    </row>
    <row r="239" customHeight="1" spans="51:52">
      <c r="AY239" s="134">
        <v>7001</v>
      </c>
      <c r="AZ239" s="124" t="s">
        <v>63</v>
      </c>
    </row>
    <row r="240" customHeight="1" spans="51:52">
      <c r="AY240" s="134">
        <v>7031</v>
      </c>
      <c r="AZ240" s="124" t="s">
        <v>83</v>
      </c>
    </row>
    <row r="241" customHeight="1" spans="51:52">
      <c r="AY241" s="134">
        <v>7060</v>
      </c>
      <c r="AZ241" s="124" t="s">
        <v>101</v>
      </c>
    </row>
    <row r="242" customHeight="1" spans="51:52">
      <c r="AY242" s="134">
        <v>7089</v>
      </c>
      <c r="AZ242" s="124" t="s">
        <v>117</v>
      </c>
    </row>
    <row r="243" customHeight="1" spans="51:52">
      <c r="AY243" s="134">
        <v>7119</v>
      </c>
      <c r="AZ243" s="124" t="s">
        <v>136</v>
      </c>
    </row>
    <row r="244" customHeight="1" spans="51:52">
      <c r="AY244" s="134">
        <v>7148</v>
      </c>
      <c r="AZ244" s="124" t="s">
        <v>155</v>
      </c>
    </row>
    <row r="245" customHeight="1" spans="51:52">
      <c r="AY245" s="134">
        <v>7177</v>
      </c>
      <c r="AZ245" s="124" t="s">
        <v>403</v>
      </c>
    </row>
    <row r="246" customHeight="1" spans="51:52">
      <c r="AY246" s="134">
        <v>7207</v>
      </c>
      <c r="AZ246" s="124" t="s">
        <v>174</v>
      </c>
    </row>
    <row r="247" customHeight="1" spans="51:52">
      <c r="AY247" s="134">
        <v>7237</v>
      </c>
      <c r="AZ247" s="124" t="s">
        <v>186</v>
      </c>
    </row>
    <row r="248" customHeight="1" spans="51:52">
      <c r="AY248" s="134">
        <v>7266</v>
      </c>
      <c r="AZ248" s="124" t="s">
        <v>198</v>
      </c>
    </row>
    <row r="249" customHeight="1" spans="51:52">
      <c r="AY249" s="134">
        <v>7296</v>
      </c>
      <c r="AZ249" s="124" t="s">
        <v>233</v>
      </c>
    </row>
    <row r="250" customHeight="1" spans="51:52">
      <c r="AY250" s="134">
        <v>7326</v>
      </c>
      <c r="AZ250" s="124" t="s">
        <v>56</v>
      </c>
    </row>
    <row r="251" customHeight="1" spans="51:52">
      <c r="AY251" s="134">
        <v>7356</v>
      </c>
      <c r="AZ251" s="124" t="s">
        <v>77</v>
      </c>
    </row>
    <row r="252" customHeight="1" spans="51:52">
      <c r="AY252" s="134">
        <v>7385</v>
      </c>
      <c r="AZ252" s="124" t="s">
        <v>63</v>
      </c>
    </row>
    <row r="253" customHeight="1" spans="51:52">
      <c r="AY253" s="134">
        <v>7415</v>
      </c>
      <c r="AZ253" s="124" t="s">
        <v>83</v>
      </c>
    </row>
    <row r="254" customHeight="1" spans="51:52">
      <c r="AY254" s="134">
        <v>7444</v>
      </c>
      <c r="AZ254" s="124" t="s">
        <v>101</v>
      </c>
    </row>
    <row r="255" customHeight="1" spans="51:52">
      <c r="AY255" s="134">
        <v>7473</v>
      </c>
      <c r="AZ255" s="124" t="s">
        <v>117</v>
      </c>
    </row>
    <row r="256" customHeight="1" spans="51:52">
      <c r="AY256" s="134">
        <v>7503</v>
      </c>
      <c r="AZ256" s="124" t="s">
        <v>136</v>
      </c>
    </row>
    <row r="257" customHeight="1" spans="51:52">
      <c r="AY257" s="134">
        <v>7532</v>
      </c>
      <c r="AZ257" s="124" t="s">
        <v>155</v>
      </c>
    </row>
    <row r="258" customHeight="1" spans="51:52">
      <c r="AY258" s="134">
        <v>7561</v>
      </c>
      <c r="AZ258" s="124" t="s">
        <v>174</v>
      </c>
    </row>
    <row r="259" customHeight="1" spans="51:52">
      <c r="AY259" s="134">
        <v>7591</v>
      </c>
      <c r="AZ259" s="124" t="s">
        <v>186</v>
      </c>
    </row>
    <row r="260" customHeight="1" spans="51:52">
      <c r="AY260" s="134">
        <v>7620</v>
      </c>
      <c r="AZ260" s="124" t="s">
        <v>198</v>
      </c>
    </row>
    <row r="261" customHeight="1" spans="51:52">
      <c r="AY261" s="134">
        <v>7650</v>
      </c>
      <c r="AZ261" s="124" t="s">
        <v>233</v>
      </c>
    </row>
    <row r="262" customHeight="1" spans="51:52">
      <c r="AY262" s="134">
        <v>7680</v>
      </c>
      <c r="AZ262" s="124" t="s">
        <v>56</v>
      </c>
    </row>
    <row r="263" customHeight="1" spans="51:52">
      <c r="AY263" s="134">
        <v>7710</v>
      </c>
      <c r="AZ263" s="124" t="s">
        <v>77</v>
      </c>
    </row>
    <row r="264" customHeight="1" spans="51:52">
      <c r="AY264" s="134">
        <v>7740</v>
      </c>
      <c r="AZ264" s="124" t="s">
        <v>63</v>
      </c>
    </row>
    <row r="265" customHeight="1" spans="51:52">
      <c r="AY265" s="134">
        <v>7769</v>
      </c>
      <c r="AZ265" s="124" t="s">
        <v>83</v>
      </c>
    </row>
    <row r="266" customHeight="1" spans="51:52">
      <c r="AY266" s="134">
        <v>7799</v>
      </c>
      <c r="AZ266" s="124" t="s">
        <v>101</v>
      </c>
    </row>
    <row r="267" customHeight="1" spans="51:52">
      <c r="AY267" s="134">
        <v>7828</v>
      </c>
      <c r="AZ267" s="124" t="s">
        <v>117</v>
      </c>
    </row>
    <row r="268" customHeight="1" spans="51:52">
      <c r="AY268" s="134">
        <v>7857</v>
      </c>
      <c r="AZ268" s="124" t="s">
        <v>136</v>
      </c>
    </row>
    <row r="269" customHeight="1" spans="51:52">
      <c r="AY269" s="134">
        <v>7887</v>
      </c>
      <c r="AZ269" s="124" t="s">
        <v>155</v>
      </c>
    </row>
    <row r="270" customHeight="1" spans="51:52">
      <c r="AY270" s="134">
        <v>7916</v>
      </c>
      <c r="AZ270" s="124" t="s">
        <v>174</v>
      </c>
    </row>
    <row r="271" customHeight="1" spans="51:52">
      <c r="AY271" s="134">
        <v>7945</v>
      </c>
      <c r="AZ271" s="124" t="s">
        <v>186</v>
      </c>
    </row>
    <row r="272" customHeight="1" spans="51:52">
      <c r="AY272" s="134">
        <v>7975</v>
      </c>
      <c r="AZ272" s="124" t="s">
        <v>198</v>
      </c>
    </row>
    <row r="273" customHeight="1" spans="51:52">
      <c r="AY273" s="134">
        <v>8004</v>
      </c>
      <c r="AZ273" s="124" t="s">
        <v>233</v>
      </c>
    </row>
    <row r="274" customHeight="1" spans="51:52">
      <c r="AY274" s="134">
        <v>8034</v>
      </c>
      <c r="AZ274" s="124" t="s">
        <v>56</v>
      </c>
    </row>
    <row r="275" customHeight="1" spans="51:52">
      <c r="AY275" s="134">
        <v>8064</v>
      </c>
      <c r="AZ275" s="124" t="s">
        <v>77</v>
      </c>
    </row>
    <row r="276" customHeight="1" spans="51:52">
      <c r="AY276" s="134">
        <v>8094</v>
      </c>
      <c r="AZ276" s="124" t="s">
        <v>63</v>
      </c>
    </row>
    <row r="277" customHeight="1" spans="51:52">
      <c r="AY277" s="134">
        <v>8123</v>
      </c>
      <c r="AZ277" s="124" t="s">
        <v>83</v>
      </c>
    </row>
    <row r="278" customHeight="1" spans="51:52">
      <c r="AY278" s="134">
        <v>8153</v>
      </c>
      <c r="AZ278" s="124" t="s">
        <v>101</v>
      </c>
    </row>
    <row r="279" customHeight="1" spans="51:52">
      <c r="AY279" s="134">
        <v>8183</v>
      </c>
      <c r="AZ279" s="124" t="s">
        <v>117</v>
      </c>
    </row>
    <row r="280" customHeight="1" spans="51:52">
      <c r="AY280" s="134">
        <v>8212</v>
      </c>
      <c r="AZ280" s="124" t="s">
        <v>323</v>
      </c>
    </row>
    <row r="281" customHeight="1" spans="51:52">
      <c r="AY281" s="134">
        <v>8241</v>
      </c>
      <c r="AZ281" s="124" t="s">
        <v>136</v>
      </c>
    </row>
    <row r="282" customHeight="1" spans="51:52">
      <c r="AY282" s="134">
        <v>8271</v>
      </c>
      <c r="AZ282" s="124" t="s">
        <v>155</v>
      </c>
    </row>
    <row r="283" customHeight="1" spans="51:52">
      <c r="AY283" s="134">
        <v>8300</v>
      </c>
      <c r="AZ283" s="124" t="s">
        <v>174</v>
      </c>
    </row>
    <row r="284" customHeight="1" spans="51:52">
      <c r="AY284" s="134">
        <v>8329</v>
      </c>
      <c r="AZ284" s="124" t="s">
        <v>186</v>
      </c>
    </row>
    <row r="285" customHeight="1" spans="51:52">
      <c r="AY285" s="134">
        <v>8359</v>
      </c>
      <c r="AZ285" s="124" t="s">
        <v>198</v>
      </c>
    </row>
    <row r="286" customHeight="1" spans="51:52">
      <c r="AY286" s="134">
        <v>8388</v>
      </c>
      <c r="AZ286" s="124" t="s">
        <v>233</v>
      </c>
    </row>
    <row r="287" customHeight="1" spans="51:52">
      <c r="AY287" s="134">
        <v>8418</v>
      </c>
      <c r="AZ287" s="124" t="s">
        <v>56</v>
      </c>
    </row>
    <row r="288" customHeight="1" spans="51:52">
      <c r="AY288" s="134">
        <v>8448</v>
      </c>
      <c r="AZ288" s="124" t="s">
        <v>77</v>
      </c>
    </row>
    <row r="289" customHeight="1" spans="51:52">
      <c r="AY289" s="134">
        <v>8477</v>
      </c>
      <c r="AZ289" s="124" t="s">
        <v>63</v>
      </c>
    </row>
    <row r="290" customHeight="1" spans="51:52">
      <c r="AY290" s="134">
        <v>8507</v>
      </c>
      <c r="AZ290" s="124" t="s">
        <v>83</v>
      </c>
    </row>
    <row r="291" customHeight="1" spans="51:52">
      <c r="AY291" s="134">
        <v>8537</v>
      </c>
      <c r="AZ291" s="124" t="s">
        <v>101</v>
      </c>
    </row>
    <row r="292" customHeight="1" spans="51:52">
      <c r="AY292" s="134">
        <v>8566</v>
      </c>
      <c r="AZ292" s="124" t="s">
        <v>117</v>
      </c>
    </row>
    <row r="293" customHeight="1" spans="51:52">
      <c r="AY293" s="134">
        <v>8596</v>
      </c>
      <c r="AZ293" s="124" t="s">
        <v>136</v>
      </c>
    </row>
    <row r="294" customHeight="1" spans="51:52">
      <c r="AY294" s="134">
        <v>8625</v>
      </c>
      <c r="AZ294" s="124" t="s">
        <v>155</v>
      </c>
    </row>
    <row r="295" customHeight="1" spans="51:52">
      <c r="AY295" s="134">
        <v>8655</v>
      </c>
      <c r="AZ295" s="124" t="s">
        <v>174</v>
      </c>
    </row>
    <row r="296" customHeight="1" spans="51:52">
      <c r="AY296" s="134">
        <v>8684</v>
      </c>
      <c r="AZ296" s="124" t="s">
        <v>186</v>
      </c>
    </row>
    <row r="297" customHeight="1" spans="51:52">
      <c r="AY297" s="134">
        <v>8713</v>
      </c>
      <c r="AZ297" s="124" t="s">
        <v>198</v>
      </c>
    </row>
    <row r="298" customHeight="1" spans="51:52">
      <c r="AY298" s="138">
        <v>8743</v>
      </c>
      <c r="AZ298" s="124" t="s">
        <v>233</v>
      </c>
    </row>
    <row r="299" customHeight="1" spans="51:52">
      <c r="AY299" s="134">
        <v>8772</v>
      </c>
      <c r="AZ299" s="124" t="s">
        <v>56</v>
      </c>
    </row>
    <row r="300" customHeight="1" spans="51:52">
      <c r="AY300" s="134">
        <v>8802</v>
      </c>
      <c r="AZ300" s="124" t="s">
        <v>77</v>
      </c>
    </row>
    <row r="301" customHeight="1" spans="51:52">
      <c r="AY301" s="134">
        <v>8831</v>
      </c>
      <c r="AZ301" s="124" t="s">
        <v>63</v>
      </c>
    </row>
    <row r="302" customHeight="1" spans="51:52">
      <c r="AY302" s="134">
        <v>8861</v>
      </c>
      <c r="AZ302" s="124" t="s">
        <v>83</v>
      </c>
    </row>
    <row r="303" customHeight="1" spans="51:52">
      <c r="AY303" s="134">
        <v>8891</v>
      </c>
      <c r="AZ303" s="124" t="s">
        <v>101</v>
      </c>
    </row>
    <row r="304" customHeight="1" spans="51:52">
      <c r="AY304" s="134">
        <v>8920</v>
      </c>
      <c r="AZ304" s="124" t="s">
        <v>117</v>
      </c>
    </row>
    <row r="305" customHeight="1" spans="51:52">
      <c r="AY305" s="134">
        <v>8950</v>
      </c>
      <c r="AZ305" s="124" t="s">
        <v>136</v>
      </c>
    </row>
    <row r="306" customHeight="1" spans="51:52">
      <c r="AY306" s="134">
        <v>8980</v>
      </c>
      <c r="AZ306" s="124" t="s">
        <v>155</v>
      </c>
    </row>
    <row r="307" customHeight="1" spans="51:52">
      <c r="AY307" s="134">
        <v>9009</v>
      </c>
      <c r="AZ307" s="124" t="s">
        <v>174</v>
      </c>
    </row>
    <row r="308" customHeight="1" spans="51:52">
      <c r="AY308" s="134">
        <v>9039</v>
      </c>
      <c r="AZ308" s="124" t="s">
        <v>186</v>
      </c>
    </row>
    <row r="309" customHeight="1" spans="51:52">
      <c r="AY309" s="134">
        <v>9068</v>
      </c>
      <c r="AZ309" s="124" t="s">
        <v>198</v>
      </c>
    </row>
    <row r="310" customHeight="1" spans="51:52">
      <c r="AY310" s="134">
        <v>9098</v>
      </c>
      <c r="AZ310" s="124" t="s">
        <v>233</v>
      </c>
    </row>
    <row r="311" customHeight="1" spans="51:52">
      <c r="AY311" s="134">
        <v>9127</v>
      </c>
      <c r="AZ311" s="124" t="s">
        <v>56</v>
      </c>
    </row>
    <row r="312" customHeight="1" spans="51:52">
      <c r="AY312" s="134">
        <v>9156</v>
      </c>
      <c r="AZ312" s="124" t="s">
        <v>77</v>
      </c>
    </row>
    <row r="313" customHeight="1" spans="51:52">
      <c r="AY313" s="134">
        <v>9186</v>
      </c>
      <c r="AZ313" s="124" t="s">
        <v>63</v>
      </c>
    </row>
    <row r="314" customHeight="1" spans="51:52">
      <c r="AY314" s="134">
        <v>9215</v>
      </c>
      <c r="AZ314" s="124" t="s">
        <v>83</v>
      </c>
    </row>
    <row r="315" customHeight="1" spans="51:52">
      <c r="AY315" s="134">
        <v>9245</v>
      </c>
      <c r="AZ315" s="124" t="s">
        <v>101</v>
      </c>
    </row>
    <row r="316" customHeight="1" spans="51:52">
      <c r="AY316" s="134">
        <v>9274</v>
      </c>
      <c r="AZ316" s="124" t="s">
        <v>384</v>
      </c>
    </row>
    <row r="317" customHeight="1" spans="51:52">
      <c r="AY317" s="134">
        <v>9304</v>
      </c>
      <c r="AZ317" s="124" t="s">
        <v>117</v>
      </c>
    </row>
    <row r="318" customHeight="1" spans="51:52">
      <c r="AY318" s="134">
        <v>9334</v>
      </c>
      <c r="AZ318" s="124" t="s">
        <v>136</v>
      </c>
    </row>
    <row r="319" customHeight="1" spans="51:52">
      <c r="AY319" s="134">
        <v>9363</v>
      </c>
      <c r="AZ319" s="124" t="s">
        <v>155</v>
      </c>
    </row>
    <row r="320" customHeight="1" spans="51:52">
      <c r="AY320" s="134">
        <v>9393</v>
      </c>
      <c r="AZ320" s="124" t="s">
        <v>174</v>
      </c>
    </row>
    <row r="321" customHeight="1" spans="51:52">
      <c r="AY321" s="134">
        <v>9423</v>
      </c>
      <c r="AZ321" s="124" t="s">
        <v>186</v>
      </c>
    </row>
    <row r="322" customHeight="1" spans="51:52">
      <c r="AY322" s="134">
        <v>9452</v>
      </c>
      <c r="AZ322" s="124" t="s">
        <v>198</v>
      </c>
    </row>
    <row r="323" customHeight="1" spans="51:52">
      <c r="AY323" s="134">
        <v>9482</v>
      </c>
      <c r="AZ323" s="124" t="s">
        <v>233</v>
      </c>
    </row>
    <row r="324" customHeight="1" spans="51:52">
      <c r="AY324" s="134">
        <v>9511</v>
      </c>
      <c r="AZ324" s="124" t="s">
        <v>56</v>
      </c>
    </row>
    <row r="325" customHeight="1" spans="51:52">
      <c r="AY325" s="134">
        <v>9541</v>
      </c>
      <c r="AZ325" s="124" t="s">
        <v>77</v>
      </c>
    </row>
    <row r="326" customHeight="1" spans="51:52">
      <c r="AY326" s="134">
        <v>9570</v>
      </c>
      <c r="AZ326" s="124" t="s">
        <v>63</v>
      </c>
    </row>
    <row r="327" customHeight="1" spans="51:52">
      <c r="AY327" s="134">
        <v>9599</v>
      </c>
      <c r="AZ327" s="124" t="s">
        <v>83</v>
      </c>
    </row>
    <row r="328" customHeight="1" spans="51:52">
      <c r="AY328" s="134">
        <v>9629</v>
      </c>
      <c r="AZ328" s="124" t="s">
        <v>101</v>
      </c>
    </row>
    <row r="329" customHeight="1" spans="51:52">
      <c r="AY329" s="134">
        <v>9658</v>
      </c>
      <c r="AZ329" s="124" t="s">
        <v>117</v>
      </c>
    </row>
    <row r="330" customHeight="1" spans="51:52">
      <c r="AY330" s="134">
        <v>9688</v>
      </c>
      <c r="AZ330" s="124" t="s">
        <v>136</v>
      </c>
    </row>
    <row r="331" customHeight="1" spans="51:52">
      <c r="AY331" s="134">
        <v>9717</v>
      </c>
      <c r="AZ331" s="124" t="s">
        <v>155</v>
      </c>
    </row>
    <row r="332" customHeight="1" spans="51:52">
      <c r="AY332" s="134">
        <v>9747</v>
      </c>
      <c r="AZ332" s="124" t="s">
        <v>174</v>
      </c>
    </row>
    <row r="333" customHeight="1" spans="51:52">
      <c r="AY333" s="134">
        <v>9777</v>
      </c>
      <c r="AZ333" s="124" t="s">
        <v>186</v>
      </c>
    </row>
    <row r="334" customHeight="1" spans="51:52">
      <c r="AY334" s="134">
        <v>9806</v>
      </c>
      <c r="AZ334" s="124" t="s">
        <v>198</v>
      </c>
    </row>
    <row r="335" customHeight="1" spans="51:52">
      <c r="AY335" s="134">
        <v>9836</v>
      </c>
      <c r="AZ335" s="124" t="s">
        <v>233</v>
      </c>
    </row>
    <row r="336" customHeight="1" spans="51:52">
      <c r="AY336" s="134">
        <v>9866</v>
      </c>
      <c r="AZ336" s="124" t="s">
        <v>56</v>
      </c>
    </row>
    <row r="337" customHeight="1" spans="51:52">
      <c r="AY337" s="134">
        <v>9895</v>
      </c>
      <c r="AZ337" s="124" t="s">
        <v>77</v>
      </c>
    </row>
    <row r="338" customHeight="1" spans="51:52">
      <c r="AY338" s="134">
        <v>9925</v>
      </c>
      <c r="AZ338" s="124" t="s">
        <v>63</v>
      </c>
    </row>
    <row r="339" customHeight="1" spans="51:52">
      <c r="AY339" s="134">
        <v>9954</v>
      </c>
      <c r="AZ339" s="124" t="s">
        <v>83</v>
      </c>
    </row>
    <row r="340" customHeight="1" spans="51:52">
      <c r="AY340" s="134">
        <v>9983</v>
      </c>
      <c r="AZ340" s="124" t="s">
        <v>101</v>
      </c>
    </row>
    <row r="341" customHeight="1" spans="51:52">
      <c r="AY341" s="134">
        <v>10013</v>
      </c>
      <c r="AZ341" s="124" t="s">
        <v>117</v>
      </c>
    </row>
    <row r="342" customHeight="1" spans="51:52">
      <c r="AY342" s="134">
        <v>10042</v>
      </c>
      <c r="AZ342" s="124" t="s">
        <v>136</v>
      </c>
    </row>
    <row r="343" customHeight="1" spans="51:52">
      <c r="AY343" s="134">
        <v>10072</v>
      </c>
      <c r="AZ343" s="124" t="s">
        <v>155</v>
      </c>
    </row>
    <row r="344" customHeight="1" spans="51:52">
      <c r="AY344" s="134">
        <v>10101</v>
      </c>
      <c r="AZ344" s="124" t="s">
        <v>174</v>
      </c>
    </row>
    <row r="345" customHeight="1" spans="51:52">
      <c r="AY345" s="134">
        <v>10131</v>
      </c>
      <c r="AZ345" s="124" t="s">
        <v>186</v>
      </c>
    </row>
    <row r="346" customHeight="1" spans="51:52">
      <c r="AY346" s="134">
        <v>10160</v>
      </c>
      <c r="AZ346" s="124" t="s">
        <v>198</v>
      </c>
    </row>
    <row r="347" customHeight="1" spans="51:52">
      <c r="AY347" s="134">
        <v>10190</v>
      </c>
      <c r="AZ347" s="124" t="s">
        <v>233</v>
      </c>
    </row>
    <row r="348" customHeight="1" spans="51:52">
      <c r="AY348" s="134">
        <v>10220</v>
      </c>
      <c r="AZ348" s="124" t="s">
        <v>56</v>
      </c>
    </row>
    <row r="349" customHeight="1" spans="51:52">
      <c r="AY349" s="134">
        <v>10250</v>
      </c>
      <c r="AZ349" s="124" t="s">
        <v>77</v>
      </c>
    </row>
    <row r="350" customHeight="1" spans="51:52">
      <c r="AY350" s="134">
        <v>10279</v>
      </c>
      <c r="AZ350" s="124" t="s">
        <v>63</v>
      </c>
    </row>
    <row r="351" customHeight="1" spans="51:52">
      <c r="AY351" s="134">
        <v>10309</v>
      </c>
      <c r="AZ351" s="124" t="s">
        <v>391</v>
      </c>
    </row>
    <row r="352" customHeight="1" spans="51:52">
      <c r="AY352" s="134">
        <v>10338</v>
      </c>
      <c r="AZ352" s="124" t="s">
        <v>83</v>
      </c>
    </row>
    <row r="353" customHeight="1" spans="51:52">
      <c r="AY353" s="134">
        <v>10367</v>
      </c>
      <c r="AZ353" s="124" t="s">
        <v>101</v>
      </c>
    </row>
    <row r="354" customHeight="1" spans="51:52">
      <c r="AY354" s="134">
        <v>10397</v>
      </c>
      <c r="AZ354" s="124" t="s">
        <v>117</v>
      </c>
    </row>
    <row r="355" customHeight="1" spans="51:52">
      <c r="AY355" s="134">
        <v>10426</v>
      </c>
      <c r="AZ355" s="124" t="s">
        <v>136</v>
      </c>
    </row>
    <row r="356" customHeight="1" spans="51:52">
      <c r="AY356" s="134">
        <v>10455</v>
      </c>
      <c r="AZ356" s="124" t="s">
        <v>155</v>
      </c>
    </row>
    <row r="357" customHeight="1" spans="51:52">
      <c r="AY357" s="134">
        <v>10485</v>
      </c>
      <c r="AZ357" s="124" t="s">
        <v>174</v>
      </c>
    </row>
    <row r="358" customHeight="1" spans="51:52">
      <c r="AY358" s="134">
        <v>10514</v>
      </c>
      <c r="AZ358" s="124" t="s">
        <v>186</v>
      </c>
    </row>
    <row r="359" customHeight="1" spans="51:52">
      <c r="AY359" s="134">
        <v>10544</v>
      </c>
      <c r="AZ359" s="124" t="s">
        <v>198</v>
      </c>
    </row>
    <row r="360" customHeight="1" spans="51:52">
      <c r="AY360" s="134">
        <v>10574</v>
      </c>
      <c r="AZ360" s="124" t="s">
        <v>233</v>
      </c>
    </row>
    <row r="361" customHeight="1" spans="51:52">
      <c r="AY361" s="134">
        <v>10604</v>
      </c>
      <c r="AZ361" s="124" t="s">
        <v>56</v>
      </c>
    </row>
    <row r="362" customHeight="1" spans="51:52">
      <c r="AY362" s="134">
        <v>10634</v>
      </c>
      <c r="AZ362" s="124" t="s">
        <v>77</v>
      </c>
    </row>
    <row r="363" customHeight="1" spans="51:52">
      <c r="AY363" s="134">
        <v>10663</v>
      </c>
      <c r="AZ363" s="124" t="s">
        <v>63</v>
      </c>
    </row>
    <row r="364" customHeight="1" spans="51:52">
      <c r="AY364" s="134">
        <v>10693</v>
      </c>
      <c r="AZ364" s="124" t="s">
        <v>83</v>
      </c>
    </row>
    <row r="365" customHeight="1" spans="51:52">
      <c r="AY365" s="134">
        <v>10722</v>
      </c>
      <c r="AZ365" s="124" t="s">
        <v>101</v>
      </c>
    </row>
    <row r="366" customHeight="1" spans="51:52">
      <c r="AY366" s="134">
        <v>10751</v>
      </c>
      <c r="AZ366" s="124" t="s">
        <v>117</v>
      </c>
    </row>
    <row r="367" customHeight="1" spans="51:52">
      <c r="AY367" s="134">
        <v>10781</v>
      </c>
      <c r="AZ367" s="124" t="s">
        <v>136</v>
      </c>
    </row>
    <row r="368" customHeight="1" spans="51:52">
      <c r="AY368" s="134">
        <v>10810</v>
      </c>
      <c r="AZ368" s="124" t="s">
        <v>155</v>
      </c>
    </row>
    <row r="369" customHeight="1" spans="51:52">
      <c r="AY369" s="134">
        <v>10839</v>
      </c>
      <c r="AZ369" s="124" t="s">
        <v>174</v>
      </c>
    </row>
    <row r="370" customHeight="1" spans="51:52">
      <c r="AY370" s="134">
        <v>10869</v>
      </c>
      <c r="AZ370" s="124" t="s">
        <v>186</v>
      </c>
    </row>
    <row r="371" customHeight="1" spans="51:52">
      <c r="AY371" s="134">
        <v>10898</v>
      </c>
      <c r="AZ371" s="124" t="s">
        <v>198</v>
      </c>
    </row>
    <row r="372" customHeight="1" spans="51:52">
      <c r="AY372" s="134">
        <v>10928</v>
      </c>
      <c r="AZ372" s="124" t="s">
        <v>233</v>
      </c>
    </row>
    <row r="373" customHeight="1" spans="51:52">
      <c r="AY373" s="134">
        <v>10958</v>
      </c>
      <c r="AZ373" s="124" t="s">
        <v>56</v>
      </c>
    </row>
    <row r="374" customHeight="1" spans="51:52">
      <c r="AY374" s="134">
        <v>10988</v>
      </c>
      <c r="AZ374" s="124" t="s">
        <v>77</v>
      </c>
    </row>
    <row r="375" customHeight="1" spans="51:52">
      <c r="AY375" s="134">
        <v>11017</v>
      </c>
      <c r="AZ375" s="124" t="s">
        <v>63</v>
      </c>
    </row>
    <row r="376" customHeight="1" spans="51:52">
      <c r="AY376" s="134">
        <v>11047</v>
      </c>
      <c r="AZ376" s="124" t="s">
        <v>83</v>
      </c>
    </row>
    <row r="377" customHeight="1" spans="51:52">
      <c r="AY377" s="134">
        <v>11077</v>
      </c>
      <c r="AZ377" s="124" t="s">
        <v>101</v>
      </c>
    </row>
    <row r="378" customHeight="1" spans="51:52">
      <c r="AY378" s="134">
        <v>11106</v>
      </c>
      <c r="AZ378" s="124" t="s">
        <v>117</v>
      </c>
    </row>
    <row r="379" customHeight="1" spans="51:52">
      <c r="AY379" s="134">
        <v>11135</v>
      </c>
      <c r="AZ379" s="124" t="s">
        <v>136</v>
      </c>
    </row>
    <row r="380" customHeight="1" spans="51:52">
      <c r="AY380" s="134">
        <v>11165</v>
      </c>
      <c r="AZ380" s="124" t="s">
        <v>392</v>
      </c>
    </row>
    <row r="381" customHeight="1" spans="51:52">
      <c r="AY381" s="134">
        <v>11194</v>
      </c>
      <c r="AZ381" s="124" t="s">
        <v>155</v>
      </c>
    </row>
    <row r="382" customHeight="1" spans="51:52">
      <c r="AY382" s="134">
        <v>11223</v>
      </c>
      <c r="AZ382" s="124" t="s">
        <v>174</v>
      </c>
    </row>
    <row r="383" customHeight="1" spans="51:52">
      <c r="AY383" s="134">
        <v>11253</v>
      </c>
      <c r="AZ383" s="124" t="s">
        <v>186</v>
      </c>
    </row>
    <row r="384" customHeight="1" spans="51:52">
      <c r="AY384" s="134">
        <v>11282</v>
      </c>
      <c r="AZ384" s="124" t="s">
        <v>198</v>
      </c>
    </row>
    <row r="385" customHeight="1" spans="51:52">
      <c r="AY385" s="134">
        <v>11312</v>
      </c>
      <c r="AZ385" s="124" t="s">
        <v>233</v>
      </c>
    </row>
    <row r="386" customHeight="1" spans="51:52">
      <c r="AY386" s="134">
        <v>11342</v>
      </c>
      <c r="AZ386" s="124" t="s">
        <v>56</v>
      </c>
    </row>
    <row r="387" customHeight="1" spans="51:52">
      <c r="AY387" s="134">
        <v>11371</v>
      </c>
      <c r="AZ387" s="124" t="s">
        <v>77</v>
      </c>
    </row>
    <row r="388" customHeight="1" spans="51:52">
      <c r="AY388" s="134">
        <v>11401</v>
      </c>
      <c r="AZ388" s="124" t="s">
        <v>63</v>
      </c>
    </row>
    <row r="389" customHeight="1" spans="51:52">
      <c r="AY389" s="134">
        <v>11431</v>
      </c>
      <c r="AZ389" s="124" t="s">
        <v>83</v>
      </c>
    </row>
    <row r="390" customHeight="1" spans="51:52">
      <c r="AY390" s="134">
        <v>11460</v>
      </c>
      <c r="AZ390" s="124" t="s">
        <v>101</v>
      </c>
    </row>
    <row r="391" customHeight="1" spans="51:52">
      <c r="AY391" s="134">
        <v>11490</v>
      </c>
      <c r="AZ391" s="124" t="s">
        <v>117</v>
      </c>
    </row>
    <row r="392" customHeight="1" spans="51:52">
      <c r="AY392" s="134">
        <v>11519</v>
      </c>
      <c r="AZ392" s="124" t="s">
        <v>136</v>
      </c>
    </row>
    <row r="393" customHeight="1" spans="51:52">
      <c r="AY393" s="134">
        <v>11549</v>
      </c>
      <c r="AZ393" s="124" t="s">
        <v>155</v>
      </c>
    </row>
    <row r="394" customHeight="1" spans="51:52">
      <c r="AY394" s="134">
        <v>11578</v>
      </c>
      <c r="AZ394" s="124" t="s">
        <v>174</v>
      </c>
    </row>
    <row r="395" customHeight="1" spans="51:52">
      <c r="AY395" s="134">
        <v>11607</v>
      </c>
      <c r="AZ395" s="124" t="s">
        <v>186</v>
      </c>
    </row>
    <row r="396" customHeight="1" spans="51:52">
      <c r="AY396" s="134">
        <v>11637</v>
      </c>
      <c r="AZ396" s="124" t="s">
        <v>198</v>
      </c>
    </row>
    <row r="397" customHeight="1" spans="51:52">
      <c r="AY397" s="134">
        <v>11666</v>
      </c>
      <c r="AZ397" s="124" t="s">
        <v>233</v>
      </c>
    </row>
    <row r="398" customHeight="1" spans="51:52">
      <c r="AY398" s="134">
        <v>11696</v>
      </c>
      <c r="AZ398" s="124" t="s">
        <v>56</v>
      </c>
    </row>
    <row r="399" customHeight="1" spans="51:52">
      <c r="AY399" s="134">
        <v>11725</v>
      </c>
      <c r="AZ399" s="124" t="s">
        <v>77</v>
      </c>
    </row>
    <row r="400" customHeight="1" spans="51:52">
      <c r="AY400" s="134">
        <v>11755</v>
      </c>
      <c r="AZ400" s="124" t="s">
        <v>63</v>
      </c>
    </row>
    <row r="401" customHeight="1" spans="51:52">
      <c r="AY401" s="134">
        <v>11785</v>
      </c>
      <c r="AZ401" s="124" t="s">
        <v>83</v>
      </c>
    </row>
    <row r="402" customHeight="1" spans="51:52">
      <c r="AY402" s="134">
        <v>11815</v>
      </c>
      <c r="AZ402" s="124" t="s">
        <v>101</v>
      </c>
    </row>
    <row r="403" customHeight="1" spans="51:52">
      <c r="AY403" s="134">
        <v>11844</v>
      </c>
      <c r="AZ403" s="124" t="s">
        <v>117</v>
      </c>
    </row>
    <row r="404" customHeight="1" spans="51:52">
      <c r="AY404" s="134">
        <v>11874</v>
      </c>
      <c r="AZ404" s="124" t="s">
        <v>136</v>
      </c>
    </row>
    <row r="405" customHeight="1" spans="51:52">
      <c r="AY405" s="134">
        <v>11903</v>
      </c>
      <c r="AZ405" s="124" t="s">
        <v>155</v>
      </c>
    </row>
    <row r="406" customHeight="1" spans="51:52">
      <c r="AY406" s="134">
        <v>11933</v>
      </c>
      <c r="AZ406" s="124" t="s">
        <v>174</v>
      </c>
    </row>
    <row r="407" customHeight="1" spans="51:52">
      <c r="AY407" s="134">
        <v>11962</v>
      </c>
      <c r="AZ407" s="124" t="s">
        <v>186</v>
      </c>
    </row>
    <row r="408" customHeight="1" spans="51:52">
      <c r="AY408" s="134">
        <v>11991</v>
      </c>
      <c r="AZ408" s="124" t="s">
        <v>198</v>
      </c>
    </row>
    <row r="409" customHeight="1" spans="51:52">
      <c r="AY409" s="134">
        <v>12021</v>
      </c>
      <c r="AZ409" s="124" t="s">
        <v>233</v>
      </c>
    </row>
    <row r="410" customHeight="1" spans="51:52">
      <c r="AY410" s="134">
        <v>12050</v>
      </c>
      <c r="AZ410" s="124" t="s">
        <v>56</v>
      </c>
    </row>
    <row r="411" customHeight="1" spans="51:52">
      <c r="AY411" s="134">
        <v>12080</v>
      </c>
      <c r="AZ411" s="124" t="s">
        <v>77</v>
      </c>
    </row>
    <row r="412" customHeight="1" spans="51:52">
      <c r="AY412" s="134">
        <v>12109</v>
      </c>
      <c r="AZ412" s="124" t="s">
        <v>63</v>
      </c>
    </row>
    <row r="413" customHeight="1" spans="51:52">
      <c r="AY413" s="134">
        <v>12139</v>
      </c>
      <c r="AZ413" s="124" t="s">
        <v>83</v>
      </c>
    </row>
    <row r="414" customHeight="1" spans="51:52">
      <c r="AY414" s="134">
        <v>12169</v>
      </c>
      <c r="AZ414" s="124" t="s">
        <v>101</v>
      </c>
    </row>
    <row r="415" customHeight="1" spans="51:52">
      <c r="AY415" s="134">
        <v>12198</v>
      </c>
      <c r="AZ415" s="124" t="s">
        <v>117</v>
      </c>
    </row>
    <row r="416" customHeight="1" spans="51:52">
      <c r="AY416" s="134">
        <v>12228</v>
      </c>
      <c r="AZ416" s="124" t="s">
        <v>323</v>
      </c>
    </row>
    <row r="417" customHeight="1" spans="51:52">
      <c r="AY417" s="134">
        <v>12258</v>
      </c>
      <c r="AZ417" s="124" t="s">
        <v>136</v>
      </c>
    </row>
    <row r="418" customHeight="1" spans="51:52">
      <c r="AY418" s="134">
        <v>12287</v>
      </c>
      <c r="AZ418" s="124" t="s">
        <v>155</v>
      </c>
    </row>
    <row r="419" customHeight="1" spans="51:52">
      <c r="AY419" s="134">
        <v>12317</v>
      </c>
      <c r="AZ419" s="124" t="s">
        <v>174</v>
      </c>
    </row>
    <row r="420" customHeight="1" spans="51:52">
      <c r="AY420" s="134">
        <v>12346</v>
      </c>
      <c r="AZ420" s="124" t="s">
        <v>186</v>
      </c>
    </row>
    <row r="421" customHeight="1" spans="51:52">
      <c r="AY421" s="134">
        <v>12376</v>
      </c>
      <c r="AZ421" s="124" t="s">
        <v>198</v>
      </c>
    </row>
    <row r="422" customHeight="1" spans="51:52">
      <c r="AY422" s="134">
        <v>12405</v>
      </c>
      <c r="AZ422" s="124" t="s">
        <v>233</v>
      </c>
    </row>
    <row r="423" customHeight="1" spans="51:52">
      <c r="AY423" s="134">
        <v>12434</v>
      </c>
      <c r="AZ423" s="124" t="s">
        <v>56</v>
      </c>
    </row>
    <row r="424" customHeight="1" spans="51:52">
      <c r="AY424" s="134">
        <v>12464</v>
      </c>
      <c r="AZ424" s="124" t="s">
        <v>77</v>
      </c>
    </row>
    <row r="425" customHeight="1" spans="51:52">
      <c r="AY425" s="134">
        <v>12493</v>
      </c>
      <c r="AZ425" s="124" t="s">
        <v>63</v>
      </c>
    </row>
    <row r="426" customHeight="1" spans="51:52">
      <c r="AY426" s="134">
        <v>12523</v>
      </c>
      <c r="AZ426" s="124" t="s">
        <v>83</v>
      </c>
    </row>
    <row r="427" customHeight="1" spans="51:52">
      <c r="AY427" s="134">
        <v>12552</v>
      </c>
      <c r="AZ427" s="124" t="s">
        <v>101</v>
      </c>
    </row>
    <row r="428" customHeight="1" spans="51:52">
      <c r="AY428" s="134">
        <v>12582</v>
      </c>
      <c r="AZ428" s="124" t="s">
        <v>117</v>
      </c>
    </row>
    <row r="429" customHeight="1" spans="51:52">
      <c r="AY429" s="134">
        <v>12612</v>
      </c>
      <c r="AZ429" s="124" t="s">
        <v>136</v>
      </c>
    </row>
    <row r="430" customHeight="1" spans="51:52">
      <c r="AY430" s="134">
        <v>12641</v>
      </c>
      <c r="AZ430" s="124" t="s">
        <v>155</v>
      </c>
    </row>
    <row r="431" customHeight="1" spans="51:52">
      <c r="AY431" s="134">
        <v>12671</v>
      </c>
      <c r="AZ431" s="124" t="s">
        <v>174</v>
      </c>
    </row>
    <row r="432" customHeight="1" spans="51:52">
      <c r="AY432" s="134">
        <v>12700</v>
      </c>
      <c r="AZ432" s="124" t="s">
        <v>186</v>
      </c>
    </row>
    <row r="433" customHeight="1" spans="51:52">
      <c r="AY433" s="134">
        <v>12730</v>
      </c>
      <c r="AZ433" s="124" t="s">
        <v>198</v>
      </c>
    </row>
    <row r="434" customHeight="1" spans="51:52">
      <c r="AY434" s="134">
        <v>12760</v>
      </c>
      <c r="AZ434" s="124" t="s">
        <v>233</v>
      </c>
    </row>
    <row r="435" customHeight="1" spans="51:52">
      <c r="AY435" s="134">
        <v>12789</v>
      </c>
      <c r="AZ435" s="124" t="s">
        <v>56</v>
      </c>
    </row>
    <row r="436" customHeight="1" spans="51:52">
      <c r="AY436" s="134">
        <v>12819</v>
      </c>
      <c r="AZ436" s="124" t="s">
        <v>77</v>
      </c>
    </row>
    <row r="437" customHeight="1" spans="51:52">
      <c r="AY437" s="134">
        <v>12848</v>
      </c>
      <c r="AZ437" s="124" t="s">
        <v>63</v>
      </c>
    </row>
    <row r="438" customHeight="1" spans="51:52">
      <c r="AY438" s="134">
        <v>12877</v>
      </c>
      <c r="AZ438" s="124" t="s">
        <v>83</v>
      </c>
    </row>
    <row r="439" customHeight="1" spans="51:52">
      <c r="AY439" s="134">
        <v>12907</v>
      </c>
      <c r="AZ439" s="124" t="s">
        <v>101</v>
      </c>
    </row>
    <row r="440" customHeight="1" spans="51:52">
      <c r="AY440" s="134">
        <v>12936</v>
      </c>
      <c r="AZ440" s="124" t="s">
        <v>117</v>
      </c>
    </row>
    <row r="441" customHeight="1" spans="51:52">
      <c r="AY441" s="134">
        <v>12966</v>
      </c>
      <c r="AZ441" s="124" t="s">
        <v>136</v>
      </c>
    </row>
    <row r="442" customHeight="1" spans="51:52">
      <c r="AY442" s="134">
        <v>12995</v>
      </c>
      <c r="AZ442" s="124" t="s">
        <v>155</v>
      </c>
    </row>
    <row r="443" customHeight="1" spans="51:52">
      <c r="AY443" s="134">
        <v>13025</v>
      </c>
      <c r="AZ443" s="124" t="s">
        <v>174</v>
      </c>
    </row>
    <row r="444" customHeight="1" spans="51:52">
      <c r="AY444" s="134">
        <v>13055</v>
      </c>
      <c r="AZ444" s="124" t="s">
        <v>186</v>
      </c>
    </row>
    <row r="445" customHeight="1" spans="51:52">
      <c r="AY445" s="134">
        <v>13084</v>
      </c>
      <c r="AZ445" s="124" t="s">
        <v>198</v>
      </c>
    </row>
    <row r="446" customHeight="1" spans="51:52">
      <c r="AY446" s="134">
        <v>13114</v>
      </c>
      <c r="AZ446" s="124" t="s">
        <v>233</v>
      </c>
    </row>
    <row r="447" customHeight="1" spans="51:52">
      <c r="AY447" s="134">
        <v>13144</v>
      </c>
      <c r="AZ447" s="124" t="s">
        <v>56</v>
      </c>
    </row>
    <row r="448" customHeight="1" spans="51:52">
      <c r="AY448" s="134">
        <v>13173</v>
      </c>
      <c r="AZ448" s="124" t="s">
        <v>77</v>
      </c>
    </row>
    <row r="449" customHeight="1" spans="51:52">
      <c r="AY449" s="134">
        <v>13203</v>
      </c>
      <c r="AZ449" s="124" t="s">
        <v>63</v>
      </c>
    </row>
    <row r="450" customHeight="1" spans="51:52">
      <c r="AY450" s="134">
        <v>13232</v>
      </c>
      <c r="AZ450" s="124" t="s">
        <v>83</v>
      </c>
    </row>
    <row r="451" customHeight="1" spans="51:52">
      <c r="AY451" s="134">
        <v>13261</v>
      </c>
      <c r="AZ451" s="124" t="s">
        <v>404</v>
      </c>
    </row>
    <row r="452" customHeight="1" spans="51:52">
      <c r="AY452" s="134">
        <v>13291</v>
      </c>
      <c r="AZ452" s="124" t="s">
        <v>101</v>
      </c>
    </row>
    <row r="453" customHeight="1" spans="51:52">
      <c r="AY453" s="134">
        <v>13320</v>
      </c>
      <c r="AZ453" s="124" t="s">
        <v>117</v>
      </c>
    </row>
    <row r="454" customHeight="1" spans="51:52">
      <c r="AY454" s="134">
        <v>13349</v>
      </c>
      <c r="AZ454" s="124" t="s">
        <v>136</v>
      </c>
    </row>
    <row r="455" customHeight="1" spans="51:52">
      <c r="AY455" s="134">
        <v>13379</v>
      </c>
      <c r="AZ455" s="124" t="s">
        <v>155</v>
      </c>
    </row>
    <row r="456" customHeight="1" spans="51:52">
      <c r="AY456" s="134">
        <v>13409</v>
      </c>
      <c r="AZ456" s="124" t="s">
        <v>174</v>
      </c>
    </row>
    <row r="457" customHeight="1" spans="51:52">
      <c r="AY457" s="134">
        <v>13438</v>
      </c>
      <c r="AZ457" s="124" t="s">
        <v>186</v>
      </c>
    </row>
    <row r="458" customHeight="1" spans="51:52">
      <c r="AY458" s="134">
        <v>13468</v>
      </c>
      <c r="AZ458" s="124" t="s">
        <v>198</v>
      </c>
    </row>
    <row r="459" customHeight="1" spans="51:52">
      <c r="AY459" s="134">
        <v>13498</v>
      </c>
      <c r="AZ459" s="124" t="s">
        <v>233</v>
      </c>
    </row>
    <row r="460" customHeight="1" spans="51:52">
      <c r="AY460" s="134">
        <v>13528</v>
      </c>
      <c r="AZ460" s="124" t="s">
        <v>56</v>
      </c>
    </row>
    <row r="461" customHeight="1" spans="51:52">
      <c r="AY461" s="134">
        <v>13557</v>
      </c>
      <c r="AZ461" s="124" t="s">
        <v>77</v>
      </c>
    </row>
    <row r="462" customHeight="1" spans="51:52">
      <c r="AY462" s="134">
        <v>13587</v>
      </c>
      <c r="AZ462" s="124" t="s">
        <v>63</v>
      </c>
    </row>
    <row r="463" customHeight="1" spans="51:52">
      <c r="AY463" s="134">
        <v>13616</v>
      </c>
      <c r="AZ463" s="124" t="s">
        <v>83</v>
      </c>
    </row>
    <row r="464" customHeight="1" spans="51:52">
      <c r="AY464" s="134">
        <v>13645</v>
      </c>
      <c r="AZ464" s="124" t="s">
        <v>101</v>
      </c>
    </row>
    <row r="465" customHeight="1" spans="51:52">
      <c r="AY465" s="134">
        <v>13675</v>
      </c>
      <c r="AZ465" s="124" t="s">
        <v>117</v>
      </c>
    </row>
    <row r="466" customHeight="1" spans="51:52">
      <c r="AY466" s="134">
        <v>13704</v>
      </c>
      <c r="AZ466" s="124" t="s">
        <v>136</v>
      </c>
    </row>
    <row r="467" customHeight="1" spans="51:52">
      <c r="AY467" s="134">
        <v>13733</v>
      </c>
      <c r="AZ467" s="124" t="s">
        <v>155</v>
      </c>
    </row>
    <row r="468" customHeight="1" spans="51:52">
      <c r="AY468" s="134">
        <v>13763</v>
      </c>
      <c r="AZ468" s="124" t="s">
        <v>174</v>
      </c>
    </row>
    <row r="469" customHeight="1" spans="51:52">
      <c r="AY469" s="134">
        <v>13792</v>
      </c>
      <c r="AZ469" s="124" t="s">
        <v>186</v>
      </c>
    </row>
    <row r="470" customHeight="1" spans="51:52">
      <c r="AY470" s="134">
        <v>13822</v>
      </c>
      <c r="AZ470" s="124" t="s">
        <v>198</v>
      </c>
    </row>
    <row r="471" customHeight="1" spans="51:52">
      <c r="AY471" s="134">
        <v>13852</v>
      </c>
      <c r="AZ471" s="124" t="s">
        <v>233</v>
      </c>
    </row>
    <row r="472" customHeight="1" spans="51:52">
      <c r="AY472" s="134">
        <v>13882</v>
      </c>
      <c r="AZ472" s="124" t="s">
        <v>56</v>
      </c>
    </row>
    <row r="473" customHeight="1" spans="51:52">
      <c r="AY473" s="134">
        <v>13911</v>
      </c>
      <c r="AZ473" s="124" t="s">
        <v>77</v>
      </c>
    </row>
    <row r="474" customHeight="1" spans="51:52">
      <c r="AY474" s="134">
        <v>13941</v>
      </c>
      <c r="AZ474" s="124" t="s">
        <v>63</v>
      </c>
    </row>
    <row r="475" customHeight="1" spans="51:52">
      <c r="AY475" s="134">
        <v>13971</v>
      </c>
      <c r="AZ475" s="124" t="s">
        <v>83</v>
      </c>
    </row>
    <row r="476" customHeight="1" spans="51:52">
      <c r="AY476" s="134">
        <v>14000</v>
      </c>
      <c r="AZ476" s="124" t="s">
        <v>101</v>
      </c>
    </row>
    <row r="477" customHeight="1" spans="51:52">
      <c r="AY477" s="134">
        <v>14029</v>
      </c>
      <c r="AZ477" s="124" t="s">
        <v>117</v>
      </c>
    </row>
    <row r="478" customHeight="1" spans="51:52">
      <c r="AY478" s="134">
        <v>14059</v>
      </c>
      <c r="AZ478" s="124" t="s">
        <v>136</v>
      </c>
    </row>
    <row r="479" customHeight="1" spans="51:52">
      <c r="AY479" s="134">
        <v>14088</v>
      </c>
      <c r="AZ479" s="124" t="s">
        <v>155</v>
      </c>
    </row>
    <row r="480" customHeight="1" spans="51:52">
      <c r="AY480" s="134">
        <v>14117</v>
      </c>
      <c r="AZ480" s="124" t="s">
        <v>403</v>
      </c>
    </row>
    <row r="481" customHeight="1" spans="51:52">
      <c r="AY481" s="134">
        <v>14147</v>
      </c>
      <c r="AZ481" s="124" t="s">
        <v>174</v>
      </c>
    </row>
    <row r="482" customHeight="1" spans="51:52">
      <c r="AY482" s="134">
        <v>14176</v>
      </c>
      <c r="AZ482" s="124" t="s">
        <v>186</v>
      </c>
    </row>
    <row r="483" customHeight="1" spans="51:52">
      <c r="AY483" s="134">
        <v>14206</v>
      </c>
      <c r="AZ483" s="124" t="s">
        <v>198</v>
      </c>
    </row>
    <row r="484" customHeight="1" spans="51:52">
      <c r="AY484" s="134">
        <v>14236</v>
      </c>
      <c r="AZ484" s="124" t="s">
        <v>233</v>
      </c>
    </row>
    <row r="485" customHeight="1" spans="51:52">
      <c r="AY485" s="134">
        <v>14265</v>
      </c>
      <c r="AZ485" s="124" t="s">
        <v>56</v>
      </c>
    </row>
    <row r="486" customHeight="1" spans="51:52">
      <c r="AY486" s="134">
        <v>14295</v>
      </c>
      <c r="AZ486" s="124" t="s">
        <v>77</v>
      </c>
    </row>
    <row r="487" customHeight="1" spans="51:52">
      <c r="AY487" s="134">
        <v>14325</v>
      </c>
      <c r="AZ487" s="124" t="s">
        <v>63</v>
      </c>
    </row>
    <row r="488" customHeight="1" spans="51:52">
      <c r="AY488" s="134">
        <v>14355</v>
      </c>
      <c r="AZ488" s="124" t="s">
        <v>83</v>
      </c>
    </row>
    <row r="489" customHeight="1" spans="51:52">
      <c r="AY489" s="134">
        <v>14384</v>
      </c>
      <c r="AZ489" s="124" t="s">
        <v>101</v>
      </c>
    </row>
    <row r="490" customHeight="1" spans="51:52">
      <c r="AY490" s="134">
        <v>14413</v>
      </c>
      <c r="AZ490" s="124" t="s">
        <v>117</v>
      </c>
    </row>
    <row r="491" customHeight="1" spans="51:52">
      <c r="AY491" s="134">
        <v>14443</v>
      </c>
      <c r="AZ491" s="124" t="s">
        <v>136</v>
      </c>
    </row>
    <row r="492" customHeight="1" spans="51:52">
      <c r="AY492" s="134">
        <v>14472</v>
      </c>
      <c r="AZ492" s="124" t="s">
        <v>155</v>
      </c>
    </row>
    <row r="493" customHeight="1" spans="51:52">
      <c r="AY493" s="134">
        <v>14501</v>
      </c>
      <c r="AZ493" s="124" t="s">
        <v>174</v>
      </c>
    </row>
    <row r="494" customHeight="1" spans="51:52">
      <c r="AY494" s="134">
        <v>14531</v>
      </c>
      <c r="AZ494" s="124" t="s">
        <v>186</v>
      </c>
    </row>
    <row r="495" customHeight="1" spans="51:52">
      <c r="AY495" s="134">
        <v>14560</v>
      </c>
      <c r="AZ495" s="124" t="s">
        <v>198</v>
      </c>
    </row>
    <row r="496" customHeight="1" spans="51:52">
      <c r="AY496" s="134">
        <v>14590</v>
      </c>
      <c r="AZ496" s="124" t="s">
        <v>233</v>
      </c>
    </row>
    <row r="497" customHeight="1" spans="51:52">
      <c r="AY497" s="134">
        <v>14619</v>
      </c>
      <c r="AZ497" s="124" t="s">
        <v>56</v>
      </c>
    </row>
    <row r="498" customHeight="1" spans="51:52">
      <c r="AY498" s="134">
        <v>14649</v>
      </c>
      <c r="AZ498" s="124" t="s">
        <v>77</v>
      </c>
    </row>
    <row r="499" customHeight="1" spans="51:52">
      <c r="AY499" s="134">
        <v>14679</v>
      </c>
      <c r="AZ499" s="124" t="s">
        <v>63</v>
      </c>
    </row>
    <row r="500" customHeight="1" spans="51:52">
      <c r="AY500" s="134">
        <v>14709</v>
      </c>
      <c r="AZ500" s="124" t="s">
        <v>83</v>
      </c>
    </row>
    <row r="501" customHeight="1" spans="51:52">
      <c r="AY501" s="134">
        <v>14738</v>
      </c>
      <c r="AZ501" s="124" t="s">
        <v>101</v>
      </c>
    </row>
    <row r="502" customHeight="1" spans="51:52">
      <c r="AY502" s="134">
        <v>14768</v>
      </c>
      <c r="AZ502" s="124" t="s">
        <v>117</v>
      </c>
    </row>
    <row r="503" customHeight="1" spans="51:52">
      <c r="AY503" s="134">
        <v>14797</v>
      </c>
      <c r="AZ503" s="124" t="s">
        <v>136</v>
      </c>
    </row>
    <row r="504" customHeight="1" spans="51:52">
      <c r="AY504" s="134">
        <v>14827</v>
      </c>
      <c r="AZ504" s="124" t="s">
        <v>155</v>
      </c>
    </row>
    <row r="505" customHeight="1" spans="51:52">
      <c r="AY505" s="134">
        <v>14856</v>
      </c>
      <c r="AZ505" s="124" t="s">
        <v>174</v>
      </c>
    </row>
    <row r="506" customHeight="1" spans="51:52">
      <c r="AY506" s="134">
        <v>14885</v>
      </c>
      <c r="AZ506" s="124" t="s">
        <v>186</v>
      </c>
    </row>
    <row r="507" customHeight="1" spans="51:52">
      <c r="AY507" s="134">
        <v>14915</v>
      </c>
      <c r="AZ507" s="124" t="s">
        <v>198</v>
      </c>
    </row>
    <row r="508" customHeight="1" spans="51:52">
      <c r="AY508" s="134">
        <v>14944</v>
      </c>
      <c r="AZ508" s="124" t="s">
        <v>233</v>
      </c>
    </row>
    <row r="509" customHeight="1" spans="51:52">
      <c r="AY509" s="134">
        <v>14974</v>
      </c>
      <c r="AZ509" s="124" t="s">
        <v>56</v>
      </c>
    </row>
    <row r="510" customHeight="1" spans="51:52">
      <c r="AY510" s="134">
        <v>15003</v>
      </c>
      <c r="AZ510" s="124" t="s">
        <v>77</v>
      </c>
    </row>
    <row r="511" customHeight="1" spans="51:52">
      <c r="AY511" s="134">
        <v>15033</v>
      </c>
      <c r="AZ511" s="124" t="s">
        <v>63</v>
      </c>
    </row>
    <row r="512" customHeight="1" spans="51:52">
      <c r="AY512" s="134">
        <v>15063</v>
      </c>
      <c r="AZ512" s="124" t="s">
        <v>83</v>
      </c>
    </row>
    <row r="513" customHeight="1" spans="51:52">
      <c r="AY513" s="134">
        <v>15092</v>
      </c>
      <c r="AZ513" s="124" t="s">
        <v>101</v>
      </c>
    </row>
    <row r="514" customHeight="1" spans="51:52">
      <c r="AY514" s="134">
        <v>15122</v>
      </c>
      <c r="AZ514" s="124" t="s">
        <v>117</v>
      </c>
    </row>
    <row r="515" customHeight="1" spans="51:52">
      <c r="AY515" s="134">
        <v>15152</v>
      </c>
      <c r="AZ515" s="124" t="s">
        <v>136</v>
      </c>
    </row>
    <row r="516" customHeight="1" spans="51:52">
      <c r="AY516" s="134">
        <v>15181</v>
      </c>
      <c r="AZ516" s="124" t="s">
        <v>392</v>
      </c>
    </row>
    <row r="517" customHeight="1" spans="51:52">
      <c r="AY517" s="134">
        <v>15211</v>
      </c>
      <c r="AZ517" s="124" t="s">
        <v>155</v>
      </c>
    </row>
    <row r="518" customHeight="1" spans="51:52">
      <c r="AY518" s="134">
        <v>15240</v>
      </c>
      <c r="AZ518" s="124" t="s">
        <v>174</v>
      </c>
    </row>
    <row r="519" customHeight="1" spans="51:52">
      <c r="AY519" s="134">
        <v>15269</v>
      </c>
      <c r="AZ519" s="124" t="s">
        <v>186</v>
      </c>
    </row>
    <row r="520" customHeight="1" spans="51:52">
      <c r="AY520" s="134">
        <v>15299</v>
      </c>
      <c r="AZ520" s="124" t="s">
        <v>198</v>
      </c>
    </row>
    <row r="521" customHeight="1" spans="51:52">
      <c r="AY521" s="134">
        <v>15328</v>
      </c>
      <c r="AZ521" s="124" t="s">
        <v>233</v>
      </c>
    </row>
    <row r="522" customHeight="1" spans="51:52">
      <c r="AY522" s="134">
        <v>15358</v>
      </c>
      <c r="AZ522" s="124" t="s">
        <v>56</v>
      </c>
    </row>
    <row r="523" customHeight="1" spans="51:52">
      <c r="AY523" s="134">
        <v>15387</v>
      </c>
      <c r="AZ523" s="124" t="s">
        <v>77</v>
      </c>
    </row>
    <row r="524" customHeight="1" spans="51:52">
      <c r="AY524" s="134">
        <v>15417</v>
      </c>
      <c r="AZ524" s="124" t="s">
        <v>63</v>
      </c>
    </row>
    <row r="525" customHeight="1" spans="51:52">
      <c r="AY525" s="134">
        <v>15446</v>
      </c>
      <c r="AZ525" s="124" t="s">
        <v>83</v>
      </c>
    </row>
    <row r="526" customHeight="1" spans="51:52">
      <c r="AY526" s="134">
        <v>15476</v>
      </c>
      <c r="AZ526" s="124" t="s">
        <v>101</v>
      </c>
    </row>
    <row r="527" customHeight="1" spans="51:52">
      <c r="AY527" s="134">
        <v>15506</v>
      </c>
      <c r="AZ527" s="124" t="s">
        <v>117</v>
      </c>
    </row>
    <row r="528" customHeight="1" spans="51:52">
      <c r="AY528" s="134">
        <v>15535</v>
      </c>
      <c r="AZ528" s="124" t="s">
        <v>136</v>
      </c>
    </row>
    <row r="529" customHeight="1" spans="51:52">
      <c r="AY529" s="134">
        <v>15565</v>
      </c>
      <c r="AZ529" s="124" t="s">
        <v>155</v>
      </c>
    </row>
    <row r="530" customHeight="1" spans="51:52">
      <c r="AY530" s="134">
        <v>15594</v>
      </c>
      <c r="AZ530" s="124" t="s">
        <v>174</v>
      </c>
    </row>
    <row r="531" customHeight="1" spans="51:52">
      <c r="AY531" s="134">
        <v>15624</v>
      </c>
      <c r="AZ531" s="124" t="s">
        <v>186</v>
      </c>
    </row>
    <row r="532" customHeight="1" spans="51:52">
      <c r="AY532" s="134">
        <v>15653</v>
      </c>
      <c r="AZ532" s="124" t="s">
        <v>198</v>
      </c>
    </row>
    <row r="533" customHeight="1" spans="51:52">
      <c r="AY533" s="134">
        <v>15683</v>
      </c>
      <c r="AZ533" s="124" t="s">
        <v>233</v>
      </c>
    </row>
    <row r="534" customHeight="1" spans="51:52">
      <c r="AY534" s="134">
        <v>15712</v>
      </c>
      <c r="AZ534" s="124" t="s">
        <v>56</v>
      </c>
    </row>
    <row r="535" customHeight="1" spans="51:52">
      <c r="AY535" s="134">
        <v>15742</v>
      </c>
      <c r="AZ535" s="124" t="s">
        <v>77</v>
      </c>
    </row>
    <row r="536" customHeight="1" spans="51:52">
      <c r="AY536" s="134">
        <v>15771</v>
      </c>
      <c r="AZ536" s="124" t="s">
        <v>63</v>
      </c>
    </row>
    <row r="537" customHeight="1" spans="51:52">
      <c r="AY537" s="134">
        <v>15801</v>
      </c>
      <c r="AZ537" s="124" t="s">
        <v>83</v>
      </c>
    </row>
    <row r="538" customHeight="1" spans="51:52">
      <c r="AY538" s="134">
        <v>15830</v>
      </c>
      <c r="AZ538" s="124" t="s">
        <v>101</v>
      </c>
    </row>
    <row r="539" customHeight="1" spans="51:52">
      <c r="AY539" s="134">
        <v>15860</v>
      </c>
      <c r="AZ539" s="124" t="s">
        <v>117</v>
      </c>
    </row>
    <row r="540" customHeight="1" spans="51:52">
      <c r="AY540" s="134">
        <v>15889</v>
      </c>
      <c r="AZ540" s="124" t="s">
        <v>136</v>
      </c>
    </row>
    <row r="541" customHeight="1" spans="51:52">
      <c r="AY541" s="134">
        <v>15919</v>
      </c>
      <c r="AZ541" s="124" t="s">
        <v>155</v>
      </c>
    </row>
    <row r="542" customHeight="1" spans="51:52">
      <c r="AY542" s="134">
        <v>15949</v>
      </c>
      <c r="AZ542" s="124" t="s">
        <v>174</v>
      </c>
    </row>
    <row r="543" customHeight="1" spans="51:52">
      <c r="AY543" s="134">
        <v>15978</v>
      </c>
      <c r="AZ543" s="124" t="s">
        <v>186</v>
      </c>
    </row>
    <row r="544" customHeight="1" spans="51:52">
      <c r="AY544" s="134">
        <v>16008</v>
      </c>
      <c r="AZ544" s="124" t="s">
        <v>198</v>
      </c>
    </row>
    <row r="545" customHeight="1" spans="51:52">
      <c r="AY545" s="134">
        <v>16037</v>
      </c>
      <c r="AZ545" s="124" t="s">
        <v>233</v>
      </c>
    </row>
    <row r="546" customHeight="1" spans="51:52">
      <c r="AY546" s="134">
        <v>16067</v>
      </c>
      <c r="AZ546" s="124" t="s">
        <v>56</v>
      </c>
    </row>
    <row r="547" customHeight="1" spans="51:52">
      <c r="AY547" s="134">
        <v>16096</v>
      </c>
      <c r="AZ547" s="124" t="s">
        <v>77</v>
      </c>
    </row>
    <row r="548" customHeight="1" spans="51:52">
      <c r="AY548" s="134">
        <v>16126</v>
      </c>
      <c r="AZ548" s="124" t="s">
        <v>63</v>
      </c>
    </row>
    <row r="549" customHeight="1" spans="51:52">
      <c r="AY549" s="134">
        <v>16155</v>
      </c>
      <c r="AZ549" s="124" t="s">
        <v>83</v>
      </c>
    </row>
    <row r="550" customHeight="1" spans="51:52">
      <c r="AY550" s="134">
        <v>16185</v>
      </c>
      <c r="AZ550" s="124" t="s">
        <v>101</v>
      </c>
    </row>
    <row r="551" customHeight="1" spans="51:52">
      <c r="AY551" s="134">
        <v>16214</v>
      </c>
      <c r="AZ551" s="124" t="s">
        <v>384</v>
      </c>
    </row>
    <row r="552" customHeight="1" spans="51:52">
      <c r="AY552" s="134">
        <v>16244</v>
      </c>
      <c r="AZ552" s="124" t="s">
        <v>117</v>
      </c>
    </row>
    <row r="553" customHeight="1" spans="51:52">
      <c r="AY553" s="134">
        <v>16273</v>
      </c>
      <c r="AZ553" s="124" t="s">
        <v>136</v>
      </c>
    </row>
    <row r="554" customHeight="1" spans="51:52">
      <c r="AY554" s="134">
        <v>16303</v>
      </c>
      <c r="AZ554" s="124" t="s">
        <v>155</v>
      </c>
    </row>
    <row r="555" customHeight="1" spans="51:52">
      <c r="AY555" s="134">
        <v>16332</v>
      </c>
      <c r="AZ555" s="124" t="s">
        <v>174</v>
      </c>
    </row>
    <row r="556" customHeight="1" spans="51:52">
      <c r="AY556" s="134">
        <v>16362</v>
      </c>
      <c r="AZ556" s="124" t="s">
        <v>186</v>
      </c>
    </row>
    <row r="557" customHeight="1" spans="51:52">
      <c r="AY557" s="134">
        <v>16392</v>
      </c>
      <c r="AZ557" s="124" t="s">
        <v>198</v>
      </c>
    </row>
    <row r="558" customHeight="1" spans="51:52">
      <c r="AY558" s="134">
        <v>16421</v>
      </c>
      <c r="AZ558" s="124" t="s">
        <v>233</v>
      </c>
    </row>
    <row r="559" customHeight="1" spans="51:52">
      <c r="AY559" s="134">
        <v>16451</v>
      </c>
      <c r="AZ559" s="124" t="s">
        <v>56</v>
      </c>
    </row>
    <row r="560" customHeight="1" spans="51:52">
      <c r="AY560" s="134">
        <v>16481</v>
      </c>
      <c r="AZ560" s="124" t="s">
        <v>77</v>
      </c>
    </row>
    <row r="561" customHeight="1" spans="51:52">
      <c r="AY561" s="134">
        <v>16510</v>
      </c>
      <c r="AZ561" s="124" t="s">
        <v>63</v>
      </c>
    </row>
    <row r="562" customHeight="1" spans="51:52">
      <c r="AY562" s="134">
        <v>16539</v>
      </c>
      <c r="AZ562" s="124" t="s">
        <v>83</v>
      </c>
    </row>
    <row r="563" customHeight="1" spans="51:52">
      <c r="AY563" s="134">
        <v>16569</v>
      </c>
      <c r="AZ563" s="124" t="s">
        <v>101</v>
      </c>
    </row>
    <row r="564" customHeight="1" spans="51:52">
      <c r="AY564" s="134">
        <v>16598</v>
      </c>
      <c r="AZ564" s="124" t="s">
        <v>117</v>
      </c>
    </row>
    <row r="565" customHeight="1" spans="51:52">
      <c r="AY565" s="134">
        <v>16627</v>
      </c>
      <c r="AZ565" s="124" t="s">
        <v>136</v>
      </c>
    </row>
    <row r="566" customHeight="1" spans="51:52">
      <c r="AY566" s="134">
        <v>16657</v>
      </c>
      <c r="AZ566" s="124" t="s">
        <v>155</v>
      </c>
    </row>
    <row r="567" customHeight="1" spans="51:52">
      <c r="AY567" s="134">
        <v>16686</v>
      </c>
      <c r="AZ567" s="124" t="s">
        <v>174</v>
      </c>
    </row>
    <row r="568" customHeight="1" spans="51:52">
      <c r="AY568" s="134">
        <v>16716</v>
      </c>
      <c r="AZ568" s="124" t="s">
        <v>186</v>
      </c>
    </row>
    <row r="569" customHeight="1" spans="51:52">
      <c r="AY569" s="134">
        <v>16746</v>
      </c>
      <c r="AZ569" s="124" t="s">
        <v>198</v>
      </c>
    </row>
    <row r="570" customHeight="1" spans="51:52">
      <c r="AY570" s="134">
        <v>16776</v>
      </c>
      <c r="AZ570" s="124" t="s">
        <v>233</v>
      </c>
    </row>
    <row r="571" customHeight="1" spans="51:52">
      <c r="AY571" s="134">
        <v>16805</v>
      </c>
      <c r="AZ571" s="124" t="s">
        <v>56</v>
      </c>
    </row>
    <row r="572" customHeight="1" spans="51:52">
      <c r="AY572" s="134">
        <v>16835</v>
      </c>
      <c r="AZ572" s="124" t="s">
        <v>77</v>
      </c>
    </row>
    <row r="573" customHeight="1" spans="51:52">
      <c r="AY573" s="134">
        <v>16865</v>
      </c>
      <c r="AZ573" s="124" t="s">
        <v>63</v>
      </c>
    </row>
    <row r="574" customHeight="1" spans="51:52">
      <c r="AY574" s="134">
        <v>16894</v>
      </c>
      <c r="AZ574" s="124" t="s">
        <v>83</v>
      </c>
    </row>
    <row r="575" customHeight="1" spans="51:52">
      <c r="AY575" s="134">
        <v>16923</v>
      </c>
      <c r="AZ575" s="124" t="s">
        <v>101</v>
      </c>
    </row>
    <row r="576" customHeight="1" spans="51:52">
      <c r="AY576" s="134">
        <v>16953</v>
      </c>
      <c r="AZ576" s="124" t="s">
        <v>117</v>
      </c>
    </row>
    <row r="577" customHeight="1" spans="51:52">
      <c r="AY577" s="134">
        <v>16982</v>
      </c>
      <c r="AZ577" s="124" t="s">
        <v>136</v>
      </c>
    </row>
    <row r="578" customHeight="1" spans="51:52">
      <c r="AY578" s="134">
        <v>17011</v>
      </c>
      <c r="AZ578" s="124" t="s">
        <v>155</v>
      </c>
    </row>
    <row r="579" customHeight="1" spans="51:52">
      <c r="AY579" s="134">
        <v>17041</v>
      </c>
      <c r="AZ579" s="124" t="s">
        <v>174</v>
      </c>
    </row>
    <row r="580" customHeight="1" spans="51:52">
      <c r="AY580" s="134">
        <v>17070</v>
      </c>
      <c r="AZ580" s="124" t="s">
        <v>186</v>
      </c>
    </row>
    <row r="581" customHeight="1" spans="51:52">
      <c r="AY581" s="134">
        <v>17100</v>
      </c>
      <c r="AZ581" s="124" t="s">
        <v>198</v>
      </c>
    </row>
    <row r="582" customHeight="1" spans="51:52">
      <c r="AY582" s="134">
        <v>17130</v>
      </c>
      <c r="AZ582" s="124" t="s">
        <v>233</v>
      </c>
    </row>
    <row r="583" customHeight="1" spans="51:52">
      <c r="AY583" s="134">
        <v>17159</v>
      </c>
      <c r="AZ583" s="124" t="s">
        <v>56</v>
      </c>
    </row>
    <row r="584" customHeight="1" spans="51:52">
      <c r="AY584" s="134">
        <v>17189</v>
      </c>
      <c r="AZ584" s="124" t="s">
        <v>77</v>
      </c>
    </row>
    <row r="585" customHeight="1" spans="51:52">
      <c r="AY585" s="134">
        <v>17219</v>
      </c>
      <c r="AZ585" s="124" t="s">
        <v>63</v>
      </c>
    </row>
    <row r="586" customHeight="1" spans="51:52">
      <c r="AY586" s="134">
        <v>17249</v>
      </c>
      <c r="AZ586" s="124" t="s">
        <v>391</v>
      </c>
    </row>
    <row r="587" customHeight="1" spans="51:52">
      <c r="AY587" s="134">
        <v>17278</v>
      </c>
      <c r="AZ587" s="124" t="s">
        <v>83</v>
      </c>
    </row>
    <row r="588" customHeight="1" spans="51:52">
      <c r="AY588" s="134">
        <v>17307</v>
      </c>
      <c r="AZ588" s="124" t="s">
        <v>101</v>
      </c>
    </row>
    <row r="589" customHeight="1" spans="51:52">
      <c r="AY589" s="134">
        <v>17337</v>
      </c>
      <c r="AZ589" s="124" t="s">
        <v>117</v>
      </c>
    </row>
    <row r="590" customHeight="1" spans="51:52">
      <c r="AY590" s="134">
        <v>17366</v>
      </c>
      <c r="AZ590" s="124" t="s">
        <v>136</v>
      </c>
    </row>
    <row r="591" customHeight="1" spans="51:52">
      <c r="AY591" s="134">
        <v>17395</v>
      </c>
      <c r="AZ591" s="124" t="s">
        <v>155</v>
      </c>
    </row>
    <row r="592" customHeight="1" spans="51:52">
      <c r="AY592" s="134">
        <v>17425</v>
      </c>
      <c r="AZ592" s="124" t="s">
        <v>174</v>
      </c>
    </row>
    <row r="593" customHeight="1" spans="51:52">
      <c r="AY593" s="134">
        <v>17454</v>
      </c>
      <c r="AZ593" s="124" t="s">
        <v>186</v>
      </c>
    </row>
    <row r="594" customHeight="1" spans="51:52">
      <c r="AY594" s="134">
        <v>17484</v>
      </c>
      <c r="AZ594" s="124" t="s">
        <v>198</v>
      </c>
    </row>
    <row r="595" customHeight="1" spans="51:52">
      <c r="AY595" s="134">
        <v>17513</v>
      </c>
      <c r="AZ595" s="124" t="s">
        <v>233</v>
      </c>
    </row>
    <row r="596" customHeight="1" spans="51:52">
      <c r="AY596" s="134">
        <v>17543</v>
      </c>
      <c r="AZ596" s="124" t="s">
        <v>56</v>
      </c>
    </row>
    <row r="597" customHeight="1" spans="51:52">
      <c r="AY597" s="134">
        <v>17573</v>
      </c>
      <c r="AZ597" s="124" t="s">
        <v>77</v>
      </c>
    </row>
    <row r="598" customHeight="1" spans="51:52">
      <c r="AY598" s="134">
        <v>17603</v>
      </c>
      <c r="AZ598" s="124" t="s">
        <v>63</v>
      </c>
    </row>
    <row r="599" customHeight="1" spans="51:52">
      <c r="AY599" s="134">
        <v>17632</v>
      </c>
      <c r="AZ599" s="124" t="s">
        <v>83</v>
      </c>
    </row>
    <row r="600" customHeight="1" spans="51:52">
      <c r="AY600" s="134">
        <v>17662</v>
      </c>
      <c r="AZ600" s="124" t="s">
        <v>101</v>
      </c>
    </row>
    <row r="601" customHeight="1" spans="51:52">
      <c r="AY601" s="134">
        <v>17691</v>
      </c>
      <c r="AZ601" s="124" t="s">
        <v>117</v>
      </c>
    </row>
    <row r="602" customHeight="1" spans="51:52">
      <c r="AY602" s="134">
        <v>17721</v>
      </c>
      <c r="AZ602" s="124" t="s">
        <v>136</v>
      </c>
    </row>
    <row r="603" customHeight="1" spans="51:52">
      <c r="AY603" s="134">
        <v>17750</v>
      </c>
      <c r="AZ603" s="124" t="s">
        <v>155</v>
      </c>
    </row>
    <row r="604" customHeight="1" spans="51:52">
      <c r="AY604" s="134">
        <v>17779</v>
      </c>
      <c r="AZ604" s="124" t="s">
        <v>174</v>
      </c>
    </row>
    <row r="605" customHeight="1" spans="51:52">
      <c r="AY605" s="134">
        <v>17809</v>
      </c>
      <c r="AZ605" s="124" t="s">
        <v>186</v>
      </c>
    </row>
    <row r="606" customHeight="1" spans="51:52">
      <c r="AY606" s="134">
        <v>17838</v>
      </c>
      <c r="AZ606" s="124" t="s">
        <v>198</v>
      </c>
    </row>
    <row r="607" customHeight="1" spans="51:52">
      <c r="AY607" s="134">
        <v>17868</v>
      </c>
      <c r="AZ607" s="124" t="s">
        <v>233</v>
      </c>
    </row>
    <row r="608" customHeight="1" spans="51:52">
      <c r="AY608" s="134">
        <v>17897</v>
      </c>
      <c r="AZ608" s="124" t="s">
        <v>56</v>
      </c>
    </row>
    <row r="609" customHeight="1" spans="51:52">
      <c r="AY609" s="134">
        <v>17927</v>
      </c>
      <c r="AZ609" s="124" t="s">
        <v>77</v>
      </c>
    </row>
    <row r="610" customHeight="1" spans="51:52">
      <c r="AY610" s="134">
        <v>17957</v>
      </c>
      <c r="AZ610" s="124" t="s">
        <v>63</v>
      </c>
    </row>
    <row r="611" customHeight="1" spans="51:52">
      <c r="AY611" s="134">
        <v>17986</v>
      </c>
      <c r="AZ611" s="124" t="s">
        <v>83</v>
      </c>
    </row>
    <row r="612" customHeight="1" spans="51:52">
      <c r="AY612" s="134">
        <v>18016</v>
      </c>
      <c r="AZ612" s="124" t="s">
        <v>101</v>
      </c>
    </row>
    <row r="613" customHeight="1" spans="51:52">
      <c r="AY613" s="134">
        <v>18046</v>
      </c>
      <c r="AZ613" s="124" t="s">
        <v>117</v>
      </c>
    </row>
    <row r="614" customHeight="1" spans="51:52">
      <c r="AY614" s="134">
        <v>18075</v>
      </c>
      <c r="AZ614" s="124" t="s">
        <v>136</v>
      </c>
    </row>
    <row r="615" customHeight="1" spans="51:52">
      <c r="AY615" s="134">
        <v>18105</v>
      </c>
      <c r="AZ615" s="124" t="s">
        <v>155</v>
      </c>
    </row>
    <row r="616" customHeight="1" spans="51:52">
      <c r="AY616" s="134">
        <v>18134</v>
      </c>
      <c r="AZ616" s="124" t="s">
        <v>403</v>
      </c>
    </row>
    <row r="617" customHeight="1" spans="51:52">
      <c r="AY617" s="134">
        <v>18163</v>
      </c>
      <c r="AZ617" s="124" t="s">
        <v>174</v>
      </c>
    </row>
    <row r="618" customHeight="1" spans="51:52">
      <c r="AY618" s="134">
        <v>18193</v>
      </c>
      <c r="AZ618" s="124" t="s">
        <v>186</v>
      </c>
    </row>
    <row r="619" customHeight="1" spans="51:52">
      <c r="AY619" s="134">
        <v>18222</v>
      </c>
      <c r="AZ619" s="124" t="s">
        <v>198</v>
      </c>
    </row>
    <row r="620" customHeight="1" spans="51:52">
      <c r="AY620" s="134">
        <v>18252</v>
      </c>
      <c r="AZ620" s="124" t="s">
        <v>233</v>
      </c>
    </row>
    <row r="621" customHeight="1" spans="51:52">
      <c r="AY621" s="134">
        <v>18281</v>
      </c>
      <c r="AZ621" s="124" t="s">
        <v>56</v>
      </c>
    </row>
    <row r="622" customHeight="1" spans="51:52">
      <c r="AY622" s="134">
        <v>18311</v>
      </c>
      <c r="AZ622" s="124" t="s">
        <v>77</v>
      </c>
    </row>
    <row r="623" customHeight="1" spans="51:52">
      <c r="AY623" s="134">
        <v>18340</v>
      </c>
      <c r="AZ623" s="124" t="s">
        <v>63</v>
      </c>
    </row>
    <row r="624" customHeight="1" spans="51:52">
      <c r="AY624" s="134">
        <v>18370</v>
      </c>
      <c r="AZ624" s="124" t="s">
        <v>83</v>
      </c>
    </row>
    <row r="625" customHeight="1" spans="51:52">
      <c r="AY625" s="134">
        <v>18400</v>
      </c>
      <c r="AZ625" s="124" t="s">
        <v>101</v>
      </c>
    </row>
    <row r="626" customHeight="1" spans="51:52">
      <c r="AY626" s="134">
        <v>18429</v>
      </c>
      <c r="AZ626" s="124" t="s">
        <v>117</v>
      </c>
    </row>
    <row r="627" customHeight="1" spans="51:52">
      <c r="AY627" s="134">
        <v>18459</v>
      </c>
      <c r="AZ627" s="124" t="s">
        <v>136</v>
      </c>
    </row>
    <row r="628" customHeight="1" spans="51:52">
      <c r="AY628" s="134">
        <v>18489</v>
      </c>
      <c r="AZ628" s="124" t="s">
        <v>155</v>
      </c>
    </row>
    <row r="629" customHeight="1" spans="51:52">
      <c r="AY629" s="134">
        <v>18518</v>
      </c>
      <c r="AZ629" s="124" t="s">
        <v>174</v>
      </c>
    </row>
    <row r="630" customHeight="1" spans="51:52">
      <c r="AY630" s="134">
        <v>18547</v>
      </c>
      <c r="AZ630" s="124" t="s">
        <v>186</v>
      </c>
    </row>
    <row r="631" customHeight="1" spans="51:52">
      <c r="AY631" s="134">
        <v>18577</v>
      </c>
      <c r="AZ631" s="124" t="s">
        <v>198</v>
      </c>
    </row>
    <row r="632" customHeight="1" spans="51:52">
      <c r="AY632" s="134">
        <v>18606</v>
      </c>
      <c r="AZ632" s="124" t="s">
        <v>233</v>
      </c>
    </row>
    <row r="633" customHeight="1" spans="51:52">
      <c r="AY633" s="134">
        <v>18636</v>
      </c>
      <c r="AZ633" s="124" t="s">
        <v>56</v>
      </c>
    </row>
    <row r="634" customHeight="1" spans="51:52">
      <c r="AY634" s="134">
        <v>18665</v>
      </c>
      <c r="AZ634" s="124" t="s">
        <v>77</v>
      </c>
    </row>
    <row r="635" customHeight="1" spans="51:52">
      <c r="AY635" s="134">
        <v>18695</v>
      </c>
      <c r="AZ635" s="124" t="s">
        <v>63</v>
      </c>
    </row>
    <row r="636" customHeight="1" spans="51:52">
      <c r="AY636" s="134">
        <v>18724</v>
      </c>
      <c r="AZ636" s="124" t="s">
        <v>83</v>
      </c>
    </row>
    <row r="637" customHeight="1" spans="51:52">
      <c r="AY637" s="134">
        <v>18754</v>
      </c>
      <c r="AZ637" s="124" t="s">
        <v>101</v>
      </c>
    </row>
    <row r="638" customHeight="1" spans="51:52">
      <c r="AY638" s="134">
        <v>18784</v>
      </c>
      <c r="AZ638" s="124" t="s">
        <v>117</v>
      </c>
    </row>
    <row r="639" customHeight="1" spans="51:52">
      <c r="AY639" s="134">
        <v>18813</v>
      </c>
      <c r="AZ639" s="124" t="s">
        <v>136</v>
      </c>
    </row>
    <row r="640" customHeight="1" spans="51:52">
      <c r="AY640" s="134">
        <v>18843</v>
      </c>
      <c r="AZ640" s="124" t="s">
        <v>155</v>
      </c>
    </row>
    <row r="641" customHeight="1" spans="51:52">
      <c r="AY641" s="134">
        <v>18872</v>
      </c>
      <c r="AZ641" s="124" t="s">
        <v>174</v>
      </c>
    </row>
    <row r="642" customHeight="1" spans="51:52">
      <c r="AY642" s="134">
        <v>18902</v>
      </c>
      <c r="AZ642" s="124" t="s">
        <v>186</v>
      </c>
    </row>
    <row r="643" customHeight="1" spans="51:52">
      <c r="AY643" s="134">
        <v>18931</v>
      </c>
      <c r="AZ643" s="124" t="s">
        <v>198</v>
      </c>
    </row>
    <row r="644" customHeight="1" spans="51:52">
      <c r="AY644" s="134">
        <v>18961</v>
      </c>
      <c r="AZ644" s="124" t="s">
        <v>233</v>
      </c>
    </row>
    <row r="645" customHeight="1" spans="51:52">
      <c r="AY645" s="134">
        <v>18990</v>
      </c>
      <c r="AZ645" s="124" t="s">
        <v>56</v>
      </c>
    </row>
    <row r="646" customHeight="1" spans="51:52">
      <c r="AY646" s="134">
        <v>19020</v>
      </c>
      <c r="AZ646" s="124" t="s">
        <v>77</v>
      </c>
    </row>
    <row r="647" customHeight="1" spans="51:52">
      <c r="AY647" s="134">
        <v>19049</v>
      </c>
      <c r="AZ647" s="124" t="s">
        <v>63</v>
      </c>
    </row>
    <row r="648" customHeight="1" spans="51:52">
      <c r="AY648" s="134">
        <v>19079</v>
      </c>
      <c r="AZ648" s="124" t="s">
        <v>83</v>
      </c>
    </row>
    <row r="649" customHeight="1" spans="51:52">
      <c r="AY649" s="134">
        <v>19108</v>
      </c>
      <c r="AZ649" s="124" t="s">
        <v>101</v>
      </c>
    </row>
    <row r="650" customHeight="1" spans="51:52">
      <c r="AY650" s="134">
        <v>19138</v>
      </c>
      <c r="AZ650" s="124" t="s">
        <v>117</v>
      </c>
    </row>
    <row r="651" customHeight="1" spans="51:52">
      <c r="AY651" s="134">
        <v>19167</v>
      </c>
      <c r="AZ651" s="124" t="s">
        <v>323</v>
      </c>
    </row>
    <row r="652" customHeight="1" spans="51:52">
      <c r="AY652" s="134">
        <v>19197</v>
      </c>
      <c r="AZ652" s="124" t="s">
        <v>136</v>
      </c>
    </row>
    <row r="653" customHeight="1" spans="51:52">
      <c r="AY653" s="134">
        <v>19226</v>
      </c>
      <c r="AZ653" s="124" t="s">
        <v>155</v>
      </c>
    </row>
    <row r="654" customHeight="1" spans="51:52">
      <c r="AY654" s="134">
        <v>19256</v>
      </c>
      <c r="AZ654" s="124" t="s">
        <v>174</v>
      </c>
    </row>
    <row r="655" customHeight="1" spans="51:52">
      <c r="AY655" s="134">
        <v>19286</v>
      </c>
      <c r="AZ655" s="124" t="s">
        <v>186</v>
      </c>
    </row>
    <row r="656" customHeight="1" spans="51:52">
      <c r="AY656" s="134">
        <v>19315</v>
      </c>
      <c r="AZ656" s="124" t="s">
        <v>198</v>
      </c>
    </row>
    <row r="657" customHeight="1" spans="51:52">
      <c r="AY657" s="134">
        <v>19345</v>
      </c>
      <c r="AZ657" s="124" t="s">
        <v>233</v>
      </c>
    </row>
    <row r="658" customHeight="1" spans="51:52">
      <c r="AY658" s="134">
        <v>19374</v>
      </c>
      <c r="AZ658" s="124" t="s">
        <v>56</v>
      </c>
    </row>
    <row r="659" customHeight="1" spans="51:52">
      <c r="AY659" s="134">
        <v>19404</v>
      </c>
      <c r="AZ659" s="124" t="s">
        <v>77</v>
      </c>
    </row>
    <row r="660" customHeight="1" spans="51:52">
      <c r="AY660" s="134">
        <v>19433</v>
      </c>
      <c r="AZ660" s="124" t="s">
        <v>63</v>
      </c>
    </row>
    <row r="661" customHeight="1" spans="51:52">
      <c r="AY661" s="134">
        <v>19463</v>
      </c>
      <c r="AZ661" s="124" t="s">
        <v>83</v>
      </c>
    </row>
    <row r="662" customHeight="1" spans="51:52">
      <c r="AY662" s="134">
        <v>19492</v>
      </c>
      <c r="AZ662" s="124" t="s">
        <v>101</v>
      </c>
    </row>
    <row r="663" customHeight="1" spans="51:52">
      <c r="AY663" s="134">
        <v>19521</v>
      </c>
      <c r="AZ663" s="124" t="s">
        <v>117</v>
      </c>
    </row>
    <row r="664" customHeight="1" spans="51:52">
      <c r="AY664" s="134">
        <v>19551</v>
      </c>
      <c r="AZ664" s="124" t="s">
        <v>136</v>
      </c>
    </row>
    <row r="665" customHeight="1" spans="51:52">
      <c r="AY665" s="134">
        <v>19581</v>
      </c>
      <c r="AZ665" s="124" t="s">
        <v>155</v>
      </c>
    </row>
    <row r="666" customHeight="1" spans="51:52">
      <c r="AY666" s="134">
        <v>19610</v>
      </c>
      <c r="AZ666" s="124" t="s">
        <v>174</v>
      </c>
    </row>
    <row r="667" customHeight="1" spans="51:52">
      <c r="AY667" s="134">
        <v>19640</v>
      </c>
      <c r="AZ667" s="124" t="s">
        <v>186</v>
      </c>
    </row>
    <row r="668" customHeight="1" spans="51:52">
      <c r="AY668" s="134">
        <v>19670</v>
      </c>
      <c r="AZ668" s="124" t="s">
        <v>198</v>
      </c>
    </row>
    <row r="669" customHeight="1" spans="51:52">
      <c r="AY669" s="134">
        <v>19699</v>
      </c>
      <c r="AZ669" s="124" t="s">
        <v>233</v>
      </c>
    </row>
    <row r="670" customHeight="1" spans="51:52">
      <c r="AY670" s="134">
        <v>19729</v>
      </c>
      <c r="AZ670" s="124" t="s">
        <v>56</v>
      </c>
    </row>
    <row r="671" customHeight="1" spans="51:52">
      <c r="AY671" s="134">
        <v>19758</v>
      </c>
      <c r="AZ671" s="124" t="s">
        <v>77</v>
      </c>
    </row>
    <row r="672" customHeight="1" spans="51:52">
      <c r="AY672" s="134">
        <v>19788</v>
      </c>
      <c r="AZ672" s="139" t="s">
        <v>63</v>
      </c>
    </row>
    <row r="673" customHeight="1" spans="51:52">
      <c r="AY673" s="134">
        <v>19817</v>
      </c>
      <c r="AZ673" s="124" t="s">
        <v>83</v>
      </c>
    </row>
    <row r="674" customHeight="1" spans="51:52">
      <c r="AY674" s="134">
        <v>19847</v>
      </c>
      <c r="AZ674" s="124" t="s">
        <v>101</v>
      </c>
    </row>
    <row r="675" customHeight="1" spans="51:52">
      <c r="AY675" s="134">
        <v>19876</v>
      </c>
      <c r="AZ675" s="124" t="s">
        <v>117</v>
      </c>
    </row>
    <row r="676" customHeight="1" spans="51:52">
      <c r="AY676" s="134">
        <v>19905</v>
      </c>
      <c r="AZ676" s="124" t="s">
        <v>136</v>
      </c>
    </row>
    <row r="677" customHeight="1" spans="51:52">
      <c r="AY677" s="134">
        <v>19935</v>
      </c>
      <c r="AZ677" s="124" t="s">
        <v>155</v>
      </c>
    </row>
    <row r="678" customHeight="1" spans="51:52">
      <c r="AY678" s="134">
        <v>19964</v>
      </c>
      <c r="AZ678" s="124" t="s">
        <v>174</v>
      </c>
    </row>
    <row r="679" customHeight="1" spans="51:52">
      <c r="AY679" s="134">
        <v>19994</v>
      </c>
      <c r="AZ679" s="124" t="s">
        <v>186</v>
      </c>
    </row>
    <row r="680" customHeight="1" spans="51:52">
      <c r="AY680" s="134">
        <v>20024</v>
      </c>
      <c r="AZ680" s="124" t="s">
        <v>198</v>
      </c>
    </row>
    <row r="681" customHeight="1" spans="51:52">
      <c r="AY681" s="134">
        <v>20053</v>
      </c>
      <c r="AZ681" s="124" t="s">
        <v>233</v>
      </c>
    </row>
    <row r="682" customHeight="1" spans="51:52">
      <c r="AY682" s="134">
        <v>20083</v>
      </c>
      <c r="AZ682" s="124" t="s">
        <v>56</v>
      </c>
    </row>
    <row r="683" customHeight="1" spans="51:52">
      <c r="AY683" s="134">
        <v>20113</v>
      </c>
      <c r="AZ683" s="124" t="s">
        <v>77</v>
      </c>
    </row>
    <row r="684" customHeight="1" spans="51:52">
      <c r="AY684" s="134">
        <v>20142</v>
      </c>
      <c r="AZ684" s="124" t="s">
        <v>63</v>
      </c>
    </row>
    <row r="685" customHeight="1" spans="51:52">
      <c r="AY685" s="134">
        <v>20172</v>
      </c>
      <c r="AZ685" s="124" t="s">
        <v>83</v>
      </c>
    </row>
    <row r="686" customHeight="1" spans="51:52">
      <c r="AY686" s="134">
        <v>20201</v>
      </c>
      <c r="AZ686" s="124" t="s">
        <v>404</v>
      </c>
    </row>
    <row r="687" customHeight="1" spans="51:52">
      <c r="AY687" s="134">
        <v>20231</v>
      </c>
      <c r="AZ687" s="124" t="s">
        <v>101</v>
      </c>
    </row>
    <row r="688" customHeight="1" spans="51:52">
      <c r="AY688" s="134">
        <v>20260</v>
      </c>
      <c r="AZ688" s="124" t="s">
        <v>117</v>
      </c>
    </row>
    <row r="689" customHeight="1" spans="51:52">
      <c r="AY689" s="134">
        <v>20289</v>
      </c>
      <c r="AZ689" s="124" t="s">
        <v>136</v>
      </c>
    </row>
    <row r="690" customHeight="1" spans="51:52">
      <c r="AY690" s="134">
        <v>20319</v>
      </c>
      <c r="AZ690" s="124" t="s">
        <v>155</v>
      </c>
    </row>
    <row r="691" customHeight="1" spans="51:52">
      <c r="AY691" s="134">
        <v>20348</v>
      </c>
      <c r="AZ691" s="124" t="s">
        <v>174</v>
      </c>
    </row>
    <row r="692" customHeight="1" spans="51:52">
      <c r="AY692" s="134">
        <v>20378</v>
      </c>
      <c r="AZ692" s="124" t="s">
        <v>186</v>
      </c>
    </row>
    <row r="693" customHeight="1" spans="51:52">
      <c r="AY693" s="134">
        <v>20407</v>
      </c>
      <c r="AZ693" s="124" t="s">
        <v>198</v>
      </c>
    </row>
    <row r="694" customHeight="1" spans="51:52">
      <c r="AY694" s="134">
        <v>20437</v>
      </c>
      <c r="AZ694" s="124" t="s">
        <v>233</v>
      </c>
    </row>
    <row r="695" customHeight="1" spans="51:52">
      <c r="AY695" s="134">
        <v>20467</v>
      </c>
      <c r="AZ695" s="124" t="s">
        <v>56</v>
      </c>
    </row>
    <row r="696" customHeight="1" spans="51:52">
      <c r="AY696" s="134">
        <v>20497</v>
      </c>
      <c r="AZ696" s="124" t="s">
        <v>77</v>
      </c>
    </row>
    <row r="697" customHeight="1" spans="51:52">
      <c r="AY697" s="134">
        <v>20526</v>
      </c>
      <c r="AZ697" s="124" t="s">
        <v>63</v>
      </c>
    </row>
    <row r="698" customHeight="1" spans="51:52">
      <c r="AY698" s="134">
        <v>20556</v>
      </c>
      <c r="AZ698" s="124" t="s">
        <v>83</v>
      </c>
    </row>
    <row r="699" customHeight="1" spans="51:52">
      <c r="AY699" s="134">
        <v>20585</v>
      </c>
      <c r="AZ699" s="124" t="s">
        <v>101</v>
      </c>
    </row>
    <row r="700" customHeight="1" spans="51:52">
      <c r="AY700" s="134">
        <v>20615</v>
      </c>
      <c r="AZ700" s="124" t="s">
        <v>117</v>
      </c>
    </row>
    <row r="701" customHeight="1" spans="51:52">
      <c r="AY701" s="134">
        <v>20644</v>
      </c>
      <c r="AZ701" s="124" t="s">
        <v>136</v>
      </c>
    </row>
    <row r="702" customHeight="1" spans="51:52">
      <c r="AY702" s="134">
        <v>20673</v>
      </c>
      <c r="AZ702" s="124" t="s">
        <v>155</v>
      </c>
    </row>
    <row r="703" customHeight="1" spans="51:52">
      <c r="AY703" s="134">
        <v>20703</v>
      </c>
      <c r="AZ703" s="124" t="s">
        <v>174</v>
      </c>
    </row>
    <row r="704" customHeight="1" spans="51:52">
      <c r="AY704" s="134">
        <v>20732</v>
      </c>
      <c r="AZ704" s="124" t="s">
        <v>186</v>
      </c>
    </row>
    <row r="705" customHeight="1" spans="51:52">
      <c r="AY705" s="134">
        <v>20762</v>
      </c>
      <c r="AZ705" s="124" t="s">
        <v>198</v>
      </c>
    </row>
    <row r="706" customHeight="1" spans="51:52">
      <c r="AY706" s="134">
        <v>20791</v>
      </c>
      <c r="AZ706" s="124" t="s">
        <v>233</v>
      </c>
    </row>
    <row r="707" customHeight="1" spans="51:52">
      <c r="AY707" s="134">
        <v>20821</v>
      </c>
      <c r="AZ707" s="124" t="s">
        <v>56</v>
      </c>
    </row>
    <row r="708" customHeight="1" spans="51:52">
      <c r="AY708" s="134">
        <v>20851</v>
      </c>
      <c r="AZ708" s="124" t="s">
        <v>77</v>
      </c>
    </row>
    <row r="709" customHeight="1" spans="51:52">
      <c r="AY709" s="134">
        <v>20881</v>
      </c>
      <c r="AZ709" s="124" t="s">
        <v>63</v>
      </c>
    </row>
    <row r="710" customHeight="1" spans="51:52">
      <c r="AY710" s="134">
        <v>20910</v>
      </c>
      <c r="AZ710" s="124" t="s">
        <v>83</v>
      </c>
    </row>
    <row r="711" customHeight="1" spans="51:52">
      <c r="AY711" s="134">
        <v>20940</v>
      </c>
      <c r="AZ711" s="124" t="s">
        <v>101</v>
      </c>
    </row>
    <row r="712" customHeight="1" spans="51:52">
      <c r="AY712" s="134">
        <v>20969</v>
      </c>
      <c r="AZ712" s="124" t="s">
        <v>117</v>
      </c>
    </row>
    <row r="713" customHeight="1" spans="51:52">
      <c r="AY713" s="134">
        <v>20999</v>
      </c>
      <c r="AZ713" s="124" t="s">
        <v>136</v>
      </c>
    </row>
    <row r="714" customHeight="1" spans="51:52">
      <c r="AY714" s="134">
        <v>21028</v>
      </c>
      <c r="AZ714" s="124" t="s">
        <v>155</v>
      </c>
    </row>
    <row r="715" customHeight="1" spans="51:52">
      <c r="AY715" s="134">
        <v>21057</v>
      </c>
      <c r="AZ715" s="124" t="s">
        <v>174</v>
      </c>
    </row>
    <row r="716" customHeight="1" spans="51:52">
      <c r="AY716" s="134">
        <v>21087</v>
      </c>
      <c r="AZ716" s="124" t="s">
        <v>206</v>
      </c>
    </row>
    <row r="717" customHeight="1" spans="51:52">
      <c r="AY717" s="134">
        <v>21116</v>
      </c>
      <c r="AZ717" s="124" t="s">
        <v>186</v>
      </c>
    </row>
    <row r="718" customHeight="1" spans="51:52">
      <c r="AY718" s="134">
        <v>21146</v>
      </c>
      <c r="AZ718" s="124" t="s">
        <v>198</v>
      </c>
    </row>
    <row r="719" customHeight="1" spans="51:52">
      <c r="AY719" s="134">
        <v>21175</v>
      </c>
      <c r="AZ719" s="124" t="s">
        <v>233</v>
      </c>
    </row>
    <row r="720" customHeight="1" spans="51:52">
      <c r="AY720" s="134">
        <v>21205</v>
      </c>
      <c r="AZ720" s="124" t="s">
        <v>56</v>
      </c>
    </row>
    <row r="721" customHeight="1" spans="51:52">
      <c r="AY721" s="134">
        <v>21234</v>
      </c>
      <c r="AZ721" s="124" t="s">
        <v>77</v>
      </c>
    </row>
    <row r="722" customHeight="1" spans="51:52">
      <c r="AY722" s="134">
        <v>21264</v>
      </c>
      <c r="AZ722" s="124" t="s">
        <v>63</v>
      </c>
    </row>
    <row r="723" customHeight="1" spans="51:52">
      <c r="AY723" s="134">
        <v>21294</v>
      </c>
      <c r="AZ723" s="124" t="s">
        <v>83</v>
      </c>
    </row>
    <row r="724" customHeight="1" spans="51:52">
      <c r="AY724" s="134">
        <v>21324</v>
      </c>
      <c r="AZ724" s="124" t="s">
        <v>101</v>
      </c>
    </row>
    <row r="725" customHeight="1" spans="51:52">
      <c r="AY725" s="134">
        <v>21353</v>
      </c>
      <c r="AZ725" s="124" t="s">
        <v>117</v>
      </c>
    </row>
    <row r="726" customHeight="1" spans="51:52">
      <c r="AY726" s="134">
        <v>21383</v>
      </c>
      <c r="AZ726" s="124" t="s">
        <v>136</v>
      </c>
    </row>
    <row r="727" customHeight="1" spans="51:52">
      <c r="AY727" s="134">
        <v>21412</v>
      </c>
      <c r="AZ727" s="124" t="s">
        <v>155</v>
      </c>
    </row>
    <row r="728" customHeight="1" spans="51:52">
      <c r="AY728" s="134">
        <v>21441</v>
      </c>
      <c r="AZ728" s="124" t="s">
        <v>174</v>
      </c>
    </row>
    <row r="729" customHeight="1" spans="51:52">
      <c r="AY729" s="134">
        <v>21471</v>
      </c>
      <c r="AZ729" s="124" t="s">
        <v>186</v>
      </c>
    </row>
    <row r="730" customHeight="1" spans="51:52">
      <c r="AY730" s="134">
        <v>21500</v>
      </c>
      <c r="AZ730" s="124" t="s">
        <v>198</v>
      </c>
    </row>
    <row r="731" customHeight="1" spans="51:52">
      <c r="AY731" s="134">
        <v>21530</v>
      </c>
      <c r="AZ731" s="124" t="s">
        <v>233</v>
      </c>
    </row>
    <row r="732" customHeight="1" spans="51:52">
      <c r="AY732" s="134">
        <v>21559</v>
      </c>
      <c r="AZ732" s="124" t="s">
        <v>56</v>
      </c>
    </row>
    <row r="733" customHeight="1" spans="51:52">
      <c r="AY733" s="134">
        <v>21589</v>
      </c>
      <c r="AZ733" s="124" t="s">
        <v>77</v>
      </c>
    </row>
    <row r="734" customHeight="1" spans="51:52">
      <c r="AY734" s="134">
        <v>21618</v>
      </c>
      <c r="AZ734" s="124" t="s">
        <v>63</v>
      </c>
    </row>
    <row r="735" customHeight="1" spans="51:52">
      <c r="AY735" s="134">
        <v>21648</v>
      </c>
      <c r="AZ735" s="124" t="s">
        <v>83</v>
      </c>
    </row>
    <row r="736" customHeight="1" spans="51:52">
      <c r="AY736" s="134">
        <v>21678</v>
      </c>
      <c r="AZ736" s="124" t="s">
        <v>101</v>
      </c>
    </row>
    <row r="737" customHeight="1" spans="51:52">
      <c r="AY737" s="134">
        <v>21707</v>
      </c>
      <c r="AZ737" s="124" t="s">
        <v>117</v>
      </c>
    </row>
    <row r="738" customHeight="1" spans="51:52">
      <c r="AY738" s="134">
        <v>21737</v>
      </c>
      <c r="AZ738" s="124" t="s">
        <v>136</v>
      </c>
    </row>
    <row r="739" customHeight="1" spans="51:52">
      <c r="AY739" s="134">
        <v>21766</v>
      </c>
      <c r="AZ739" s="124" t="s">
        <v>155</v>
      </c>
    </row>
    <row r="740" customHeight="1" spans="51:52">
      <c r="AY740" s="134">
        <v>21796</v>
      </c>
      <c r="AZ740" s="124" t="s">
        <v>174</v>
      </c>
    </row>
    <row r="741" customHeight="1" spans="51:52">
      <c r="AY741" s="134">
        <v>21825</v>
      </c>
      <c r="AZ741" s="124" t="s">
        <v>186</v>
      </c>
    </row>
    <row r="742" customHeight="1" spans="51:52">
      <c r="AY742" s="134">
        <v>21855</v>
      </c>
      <c r="AZ742" s="124" t="s">
        <v>198</v>
      </c>
    </row>
    <row r="743" customHeight="1" spans="51:52">
      <c r="AY743" s="134">
        <v>21884</v>
      </c>
      <c r="AZ743" s="124" t="s">
        <v>233</v>
      </c>
    </row>
    <row r="744" customHeight="1" spans="51:52">
      <c r="AY744" s="134">
        <v>21914</v>
      </c>
      <c r="AZ744" s="124" t="s">
        <v>56</v>
      </c>
    </row>
    <row r="745" customHeight="1" spans="51:52">
      <c r="AY745" s="134">
        <v>21943</v>
      </c>
      <c r="AZ745" s="124" t="s">
        <v>77</v>
      </c>
    </row>
    <row r="746" customHeight="1" spans="51:52">
      <c r="AY746" s="134">
        <v>21973</v>
      </c>
      <c r="AZ746" s="124" t="s">
        <v>63</v>
      </c>
    </row>
    <row r="747" customHeight="1" spans="51:52">
      <c r="AY747" s="134">
        <v>22002</v>
      </c>
      <c r="AZ747" s="124" t="s">
        <v>83</v>
      </c>
    </row>
    <row r="748" customHeight="1" spans="51:52">
      <c r="AY748" s="134">
        <v>22032</v>
      </c>
      <c r="AZ748" s="124" t="s">
        <v>101</v>
      </c>
    </row>
    <row r="749" customHeight="1" spans="51:52">
      <c r="AY749" s="134">
        <v>22061</v>
      </c>
      <c r="AZ749" s="124" t="s">
        <v>117</v>
      </c>
    </row>
    <row r="750" customHeight="1" spans="51:52">
      <c r="AY750" s="134">
        <v>22091</v>
      </c>
      <c r="AZ750" s="124" t="s">
        <v>136</v>
      </c>
    </row>
    <row r="751" customHeight="1" spans="51:52">
      <c r="AY751" s="134">
        <v>22121</v>
      </c>
      <c r="AZ751" s="124" t="s">
        <v>392</v>
      </c>
    </row>
    <row r="752" customHeight="1" spans="51:52">
      <c r="AY752" s="134">
        <v>22150</v>
      </c>
      <c r="AZ752" s="124" t="s">
        <v>155</v>
      </c>
    </row>
    <row r="753" customHeight="1" spans="51:52">
      <c r="AY753" s="134">
        <v>22180</v>
      </c>
      <c r="AZ753" s="124" t="s">
        <v>174</v>
      </c>
    </row>
    <row r="754" customHeight="1" spans="51:52">
      <c r="AY754" s="134">
        <v>22209</v>
      </c>
      <c r="AZ754" s="124" t="s">
        <v>186</v>
      </c>
    </row>
    <row r="755" customHeight="1" spans="51:52">
      <c r="AY755" s="134">
        <v>22239</v>
      </c>
      <c r="AZ755" s="124" t="s">
        <v>198</v>
      </c>
    </row>
    <row r="756" customHeight="1" spans="51:52">
      <c r="AY756" s="134">
        <v>22268</v>
      </c>
      <c r="AZ756" s="124" t="s">
        <v>233</v>
      </c>
    </row>
    <row r="757" customHeight="1" spans="51:52">
      <c r="AY757" s="134">
        <v>22298</v>
      </c>
      <c r="AZ757" s="124" t="s">
        <v>56</v>
      </c>
    </row>
    <row r="758" customHeight="1" spans="51:52">
      <c r="AY758" s="134">
        <v>22327</v>
      </c>
      <c r="AZ758" s="124" t="s">
        <v>77</v>
      </c>
    </row>
    <row r="759" customHeight="1" spans="51:52">
      <c r="AY759" s="134">
        <v>22357</v>
      </c>
      <c r="AZ759" s="124" t="s">
        <v>63</v>
      </c>
    </row>
    <row r="760" customHeight="1" spans="51:52">
      <c r="AY760" s="134">
        <v>22386</v>
      </c>
      <c r="AZ760" s="124" t="s">
        <v>83</v>
      </c>
    </row>
    <row r="761" customHeight="1" spans="51:52">
      <c r="AY761" s="134">
        <v>22416</v>
      </c>
      <c r="AZ761" s="124" t="s">
        <v>101</v>
      </c>
    </row>
    <row r="762" customHeight="1" spans="51:52">
      <c r="AY762" s="134">
        <v>22445</v>
      </c>
      <c r="AZ762" s="124" t="s">
        <v>117</v>
      </c>
    </row>
    <row r="763" customHeight="1" spans="51:52">
      <c r="AY763" s="134">
        <v>22475</v>
      </c>
      <c r="AZ763" s="124" t="s">
        <v>136</v>
      </c>
    </row>
    <row r="764" customHeight="1" spans="51:52">
      <c r="AY764" s="134">
        <v>22504</v>
      </c>
      <c r="AZ764" s="124" t="s">
        <v>155</v>
      </c>
    </row>
    <row r="765" customHeight="1" spans="51:52">
      <c r="AY765" s="134">
        <v>22534</v>
      </c>
      <c r="AZ765" s="124" t="s">
        <v>174</v>
      </c>
    </row>
    <row r="766" customHeight="1" spans="51:52">
      <c r="AY766" s="134">
        <v>22564</v>
      </c>
      <c r="AZ766" s="124" t="s">
        <v>186</v>
      </c>
    </row>
    <row r="767" customHeight="1" spans="51:52">
      <c r="AY767" s="134">
        <v>22593</v>
      </c>
      <c r="AZ767" s="124" t="s">
        <v>198</v>
      </c>
    </row>
    <row r="768" customHeight="1" spans="51:52">
      <c r="AY768" s="134">
        <v>22623</v>
      </c>
      <c r="AZ768" s="124" t="s">
        <v>233</v>
      </c>
    </row>
    <row r="769" customHeight="1" spans="51:52">
      <c r="AY769" s="134">
        <v>22652</v>
      </c>
      <c r="AZ769" s="124" t="s">
        <v>56</v>
      </c>
    </row>
    <row r="770" customHeight="1" spans="51:52">
      <c r="AY770" s="134">
        <v>22682</v>
      </c>
      <c r="AZ770" s="124" t="s">
        <v>77</v>
      </c>
    </row>
    <row r="771" customHeight="1" spans="51:52">
      <c r="AY771" s="134">
        <v>22711</v>
      </c>
      <c r="AZ771" s="124" t="s">
        <v>63</v>
      </c>
    </row>
    <row r="772" customHeight="1" spans="51:52">
      <c r="AY772" s="134">
        <v>22741</v>
      </c>
      <c r="AZ772" s="124" t="s">
        <v>83</v>
      </c>
    </row>
    <row r="773" customHeight="1" spans="51:52">
      <c r="AY773" s="134">
        <v>22770</v>
      </c>
      <c r="AZ773" s="124" t="s">
        <v>101</v>
      </c>
    </row>
    <row r="774" customHeight="1" spans="51:52">
      <c r="AY774" s="134">
        <v>22799</v>
      </c>
      <c r="AZ774" s="124" t="s">
        <v>117</v>
      </c>
    </row>
    <row r="775" customHeight="1" spans="51:52">
      <c r="AY775" s="134">
        <v>22829</v>
      </c>
      <c r="AZ775" s="124" t="s">
        <v>136</v>
      </c>
    </row>
    <row r="776" customHeight="1" spans="51:52">
      <c r="AY776" s="134">
        <v>22858</v>
      </c>
      <c r="AZ776" s="124" t="s">
        <v>155</v>
      </c>
    </row>
    <row r="777" customHeight="1" spans="51:52">
      <c r="AY777" s="134">
        <v>22888</v>
      </c>
      <c r="AZ777" s="124" t="s">
        <v>174</v>
      </c>
    </row>
    <row r="778" customHeight="1" spans="51:52">
      <c r="AY778" s="134">
        <v>22918</v>
      </c>
      <c r="AZ778" s="124" t="s">
        <v>186</v>
      </c>
    </row>
    <row r="779" customHeight="1" spans="51:52">
      <c r="AY779" s="134">
        <v>22947</v>
      </c>
      <c r="AZ779" s="124" t="s">
        <v>198</v>
      </c>
    </row>
    <row r="780" customHeight="1" spans="51:52">
      <c r="AY780" s="134">
        <v>22977</v>
      </c>
      <c r="AZ780" s="124" t="s">
        <v>233</v>
      </c>
    </row>
    <row r="781" customHeight="1" spans="51:52">
      <c r="AY781" s="134">
        <v>23007</v>
      </c>
      <c r="AZ781" s="124" t="s">
        <v>56</v>
      </c>
    </row>
    <row r="782" customHeight="1" spans="51:52">
      <c r="AY782" s="134">
        <v>23036</v>
      </c>
      <c r="AZ782" s="124" t="s">
        <v>77</v>
      </c>
    </row>
    <row r="783" customHeight="1" spans="51:52">
      <c r="AY783" s="134">
        <v>23066</v>
      </c>
      <c r="AZ783" s="124" t="s">
        <v>63</v>
      </c>
    </row>
    <row r="784" customHeight="1" spans="51:52">
      <c r="AY784" s="134">
        <v>23095</v>
      </c>
      <c r="AZ784" s="124" t="s">
        <v>83</v>
      </c>
    </row>
    <row r="785" customHeight="1" spans="51:52">
      <c r="AY785" s="134">
        <v>23125</v>
      </c>
      <c r="AZ785" s="124" t="s">
        <v>101</v>
      </c>
    </row>
    <row r="786" customHeight="1" spans="51:52">
      <c r="AY786" s="134">
        <v>23154</v>
      </c>
      <c r="AZ786" s="124" t="s">
        <v>384</v>
      </c>
    </row>
    <row r="787" customHeight="1" spans="51:52">
      <c r="AY787" s="134">
        <v>23183</v>
      </c>
      <c r="AZ787" s="124" t="s">
        <v>117</v>
      </c>
    </row>
    <row r="788" customHeight="1" spans="51:52">
      <c r="AY788" s="134">
        <v>23213</v>
      </c>
      <c r="AZ788" s="124" t="s">
        <v>136</v>
      </c>
    </row>
    <row r="789" customHeight="1" spans="51:52">
      <c r="AY789" s="134">
        <v>23242</v>
      </c>
      <c r="AZ789" s="124" t="s">
        <v>155</v>
      </c>
    </row>
    <row r="790" customHeight="1" spans="51:52">
      <c r="AY790" s="134">
        <v>23272</v>
      </c>
      <c r="AZ790" s="124" t="s">
        <v>174</v>
      </c>
    </row>
    <row r="791" customHeight="1" spans="51:52">
      <c r="AY791" s="134">
        <v>23301</v>
      </c>
      <c r="AZ791" s="124" t="s">
        <v>186</v>
      </c>
    </row>
    <row r="792" customHeight="1" spans="51:52">
      <c r="AY792" s="134">
        <v>23331</v>
      </c>
      <c r="AZ792" s="124" t="s">
        <v>198</v>
      </c>
    </row>
    <row r="793" customHeight="1" spans="51:52">
      <c r="AY793" s="134">
        <v>23361</v>
      </c>
      <c r="AZ793" s="124" t="s">
        <v>233</v>
      </c>
    </row>
    <row r="794" customHeight="1" spans="51:52">
      <c r="AY794" s="134">
        <v>23391</v>
      </c>
      <c r="AZ794" s="124" t="s">
        <v>56</v>
      </c>
    </row>
    <row r="795" customHeight="1" spans="51:52">
      <c r="AY795" s="134">
        <v>23420</v>
      </c>
      <c r="AZ795" s="124" t="s">
        <v>77</v>
      </c>
    </row>
    <row r="796" customHeight="1" spans="51:52">
      <c r="AY796" s="134">
        <v>23450</v>
      </c>
      <c r="AZ796" s="124" t="s">
        <v>63</v>
      </c>
    </row>
    <row r="797" customHeight="1" spans="51:52">
      <c r="AY797" s="134">
        <v>23479</v>
      </c>
      <c r="AZ797" s="124" t="s">
        <v>83</v>
      </c>
    </row>
    <row r="798" customHeight="1" spans="51:52">
      <c r="AY798" s="134">
        <v>23509</v>
      </c>
      <c r="AZ798" s="124" t="s">
        <v>101</v>
      </c>
    </row>
    <row r="799" customHeight="1" spans="51:52">
      <c r="AY799" s="134">
        <v>23538</v>
      </c>
      <c r="AZ799" s="124" t="s">
        <v>117</v>
      </c>
    </row>
    <row r="800" customHeight="1" spans="51:52">
      <c r="AY800" s="134">
        <v>23567</v>
      </c>
      <c r="AZ800" s="124" t="s">
        <v>136</v>
      </c>
    </row>
    <row r="801" customHeight="1" spans="51:52">
      <c r="AY801" s="134">
        <v>23597</v>
      </c>
      <c r="AZ801" s="124" t="s">
        <v>155</v>
      </c>
    </row>
    <row r="802" customHeight="1" spans="51:52">
      <c r="AY802" s="134">
        <v>23626</v>
      </c>
      <c r="AZ802" s="124" t="s">
        <v>174</v>
      </c>
    </row>
    <row r="803" customHeight="1" spans="51:52">
      <c r="AY803" s="134">
        <v>23656</v>
      </c>
      <c r="AZ803" s="124" t="s">
        <v>186</v>
      </c>
    </row>
    <row r="804" customHeight="1" spans="51:52">
      <c r="AY804" s="134">
        <v>23685</v>
      </c>
      <c r="AZ804" s="124" t="s">
        <v>198</v>
      </c>
    </row>
    <row r="805" customHeight="1" spans="51:52">
      <c r="AY805" s="134">
        <v>23715</v>
      </c>
      <c r="AZ805" s="124" t="s">
        <v>233</v>
      </c>
    </row>
    <row r="806" customHeight="1" spans="51:52">
      <c r="AY806" s="134">
        <v>23745</v>
      </c>
      <c r="AZ806" s="124" t="s">
        <v>56</v>
      </c>
    </row>
    <row r="807" customHeight="1" spans="51:52">
      <c r="AY807" s="134">
        <v>23775</v>
      </c>
      <c r="AZ807" s="124" t="s">
        <v>77</v>
      </c>
    </row>
    <row r="808" customHeight="1" spans="51:52">
      <c r="AY808" s="134">
        <v>23804</v>
      </c>
      <c r="AZ808" s="124" t="s">
        <v>63</v>
      </c>
    </row>
    <row r="809" customHeight="1" spans="51:52">
      <c r="AY809" s="134">
        <v>23834</v>
      </c>
      <c r="AZ809" s="124" t="s">
        <v>83</v>
      </c>
    </row>
    <row r="810" customHeight="1" spans="51:52">
      <c r="AY810" s="134">
        <v>23863</v>
      </c>
      <c r="AZ810" s="124" t="s">
        <v>101</v>
      </c>
    </row>
    <row r="811" customHeight="1" spans="51:52">
      <c r="AY811" s="134">
        <v>23893</v>
      </c>
      <c r="AZ811" s="124" t="s">
        <v>117</v>
      </c>
    </row>
    <row r="812" customHeight="1" spans="51:52">
      <c r="AY812" s="134">
        <v>23922</v>
      </c>
      <c r="AZ812" s="124" t="s">
        <v>136</v>
      </c>
    </row>
    <row r="813" customHeight="1" spans="51:52">
      <c r="AY813" s="134">
        <v>23951</v>
      </c>
      <c r="AZ813" s="124" t="s">
        <v>155</v>
      </c>
    </row>
    <row r="814" customHeight="1" spans="51:52">
      <c r="AY814" s="134">
        <v>23981</v>
      </c>
      <c r="AZ814" s="124" t="s">
        <v>174</v>
      </c>
    </row>
    <row r="815" customHeight="1" spans="51:52">
      <c r="AY815" s="134">
        <v>24010</v>
      </c>
      <c r="AZ815" s="124" t="s">
        <v>186</v>
      </c>
    </row>
    <row r="816" customHeight="1" spans="51:52">
      <c r="AY816" s="134">
        <v>24039</v>
      </c>
      <c r="AZ816" s="124" t="s">
        <v>198</v>
      </c>
    </row>
    <row r="817" customHeight="1" spans="51:52">
      <c r="AY817" s="134">
        <v>24069</v>
      </c>
      <c r="AZ817" s="124" t="s">
        <v>233</v>
      </c>
    </row>
    <row r="818" customHeight="1" spans="51:52">
      <c r="AY818" s="134">
        <v>24099</v>
      </c>
      <c r="AZ818" s="124" t="s">
        <v>56</v>
      </c>
    </row>
    <row r="819" customHeight="1" spans="51:52">
      <c r="AY819" s="134">
        <v>24128</v>
      </c>
      <c r="AZ819" s="124" t="s">
        <v>77</v>
      </c>
    </row>
    <row r="820" customHeight="1" spans="51:52">
      <c r="AY820" s="134">
        <v>24158</v>
      </c>
      <c r="AZ820" s="124" t="s">
        <v>63</v>
      </c>
    </row>
    <row r="821" customHeight="1" spans="51:52">
      <c r="AY821" s="134">
        <v>24188</v>
      </c>
      <c r="AZ821" s="124" t="s">
        <v>83</v>
      </c>
    </row>
    <row r="822" customHeight="1" spans="51:52">
      <c r="AY822" s="134">
        <v>24218</v>
      </c>
      <c r="AZ822" s="124" t="s">
        <v>404</v>
      </c>
    </row>
    <row r="823" customHeight="1" spans="51:52">
      <c r="AY823" s="134">
        <v>24247</v>
      </c>
      <c r="AZ823" s="124" t="s">
        <v>101</v>
      </c>
    </row>
    <row r="824" customHeight="1" spans="51:52">
      <c r="AY824" s="134">
        <v>24277</v>
      </c>
      <c r="AZ824" s="124" t="s">
        <v>117</v>
      </c>
    </row>
    <row r="825" customHeight="1" spans="51:52">
      <c r="AY825" s="134">
        <v>24306</v>
      </c>
      <c r="AZ825" s="124" t="s">
        <v>136</v>
      </c>
    </row>
    <row r="826" customHeight="1" spans="51:52">
      <c r="AY826" s="134">
        <v>24335</v>
      </c>
      <c r="AZ826" s="124" t="s">
        <v>155</v>
      </c>
    </row>
    <row r="827" customHeight="1" spans="51:52">
      <c r="AY827" s="134">
        <v>24365</v>
      </c>
      <c r="AZ827" s="124" t="s">
        <v>174</v>
      </c>
    </row>
    <row r="828" customHeight="1" spans="51:52">
      <c r="AY828" s="134">
        <v>24394</v>
      </c>
      <c r="AZ828" s="124" t="s">
        <v>186</v>
      </c>
    </row>
    <row r="829" customHeight="1" spans="51:52">
      <c r="AY829" s="134">
        <v>24423</v>
      </c>
      <c r="AZ829" s="124" t="s">
        <v>198</v>
      </c>
    </row>
    <row r="830" customHeight="1" spans="51:52">
      <c r="AY830" s="134">
        <v>24453</v>
      </c>
      <c r="AZ830" s="124" t="s">
        <v>233</v>
      </c>
    </row>
    <row r="831" customHeight="1" spans="51:52">
      <c r="AY831" s="134">
        <v>24483</v>
      </c>
      <c r="AZ831" s="124" t="s">
        <v>56</v>
      </c>
    </row>
    <row r="832" customHeight="1" spans="51:52">
      <c r="AY832" s="134">
        <v>24512</v>
      </c>
      <c r="AZ832" s="124" t="s">
        <v>77</v>
      </c>
    </row>
    <row r="833" customHeight="1" spans="51:52">
      <c r="AY833" s="134">
        <v>24542</v>
      </c>
      <c r="AZ833" s="124" t="s">
        <v>63</v>
      </c>
    </row>
    <row r="834" customHeight="1" spans="51:52">
      <c r="AY834" s="134">
        <v>24572</v>
      </c>
      <c r="AZ834" s="124" t="s">
        <v>83</v>
      </c>
    </row>
    <row r="835" customHeight="1" spans="51:52">
      <c r="AY835" s="134">
        <v>24601</v>
      </c>
      <c r="AZ835" s="124" t="s">
        <v>101</v>
      </c>
    </row>
    <row r="836" customHeight="1" spans="51:52">
      <c r="AY836" s="134">
        <v>24631</v>
      </c>
      <c r="AZ836" s="124" t="s">
        <v>117</v>
      </c>
    </row>
    <row r="837" customHeight="1" spans="51:52">
      <c r="AY837" s="134">
        <v>24661</v>
      </c>
      <c r="AZ837" s="124" t="s">
        <v>136</v>
      </c>
    </row>
    <row r="838" customHeight="1" spans="51:52">
      <c r="AY838" s="134">
        <v>24690</v>
      </c>
      <c r="AZ838" s="124" t="s">
        <v>155</v>
      </c>
    </row>
    <row r="839" customHeight="1" spans="51:52">
      <c r="AY839" s="134">
        <v>24719</v>
      </c>
      <c r="AZ839" s="124" t="s">
        <v>174</v>
      </c>
    </row>
    <row r="840" customHeight="1" spans="51:52">
      <c r="AY840" s="134">
        <v>24749</v>
      </c>
      <c r="AZ840" s="124" t="s">
        <v>186</v>
      </c>
    </row>
    <row r="841" customHeight="1" spans="51:52">
      <c r="AY841" s="134">
        <v>24778</v>
      </c>
      <c r="AZ841" s="124" t="s">
        <v>198</v>
      </c>
    </row>
    <row r="842" customHeight="1" spans="51:52">
      <c r="AY842" s="134">
        <v>24808</v>
      </c>
      <c r="AZ842" s="124" t="s">
        <v>233</v>
      </c>
    </row>
    <row r="843" customHeight="1" spans="51:52">
      <c r="AY843" s="134">
        <v>24837</v>
      </c>
      <c r="AZ843" s="124" t="s">
        <v>56</v>
      </c>
    </row>
    <row r="844" customHeight="1" spans="51:52">
      <c r="AY844" s="134">
        <v>24867</v>
      </c>
      <c r="AZ844" s="124" t="s">
        <v>77</v>
      </c>
    </row>
    <row r="845" customHeight="1" spans="51:52">
      <c r="AY845" s="134">
        <v>24896</v>
      </c>
      <c r="AZ845" s="124" t="s">
        <v>63</v>
      </c>
    </row>
    <row r="846" customHeight="1" spans="51:52">
      <c r="AY846" s="134">
        <v>24926</v>
      </c>
      <c r="AZ846" s="124" t="s">
        <v>83</v>
      </c>
    </row>
    <row r="847" customHeight="1" spans="51:52">
      <c r="AY847" s="134">
        <v>24955</v>
      </c>
      <c r="AZ847" s="124" t="s">
        <v>101</v>
      </c>
    </row>
    <row r="848" customHeight="1" spans="51:52">
      <c r="AY848" s="134">
        <v>24985</v>
      </c>
      <c r="AZ848" s="124" t="s">
        <v>117</v>
      </c>
    </row>
    <row r="849" customHeight="1" spans="51:52">
      <c r="AY849" s="134">
        <v>25015</v>
      </c>
      <c r="AZ849" s="124" t="s">
        <v>136</v>
      </c>
    </row>
    <row r="850" customHeight="1" spans="51:52">
      <c r="AY850" s="134">
        <v>25044</v>
      </c>
      <c r="AZ850" s="124" t="s">
        <v>155</v>
      </c>
    </row>
    <row r="851" customHeight="1" spans="51:52">
      <c r="AY851" s="134">
        <v>25074</v>
      </c>
      <c r="AZ851" s="124" t="s">
        <v>403</v>
      </c>
    </row>
    <row r="852" customHeight="1" spans="51:52">
      <c r="AY852" s="134">
        <v>25103</v>
      </c>
      <c r="AZ852" s="124" t="s">
        <v>174</v>
      </c>
    </row>
    <row r="853" customHeight="1" spans="51:52">
      <c r="AY853" s="134">
        <v>25133</v>
      </c>
      <c r="AZ853" s="124" t="s">
        <v>186</v>
      </c>
    </row>
    <row r="854" customHeight="1" spans="51:52">
      <c r="AY854" s="134">
        <v>25162</v>
      </c>
      <c r="AZ854" s="124" t="s">
        <v>198</v>
      </c>
    </row>
    <row r="855" customHeight="1" spans="51:52">
      <c r="AY855" s="134">
        <v>25192</v>
      </c>
      <c r="AZ855" s="124" t="s">
        <v>233</v>
      </c>
    </row>
    <row r="856" customHeight="1" spans="51:52">
      <c r="AY856" s="134">
        <v>25221</v>
      </c>
      <c r="AZ856" s="124" t="s">
        <v>56</v>
      </c>
    </row>
    <row r="857" customHeight="1" spans="51:52">
      <c r="AY857" s="134">
        <v>25251</v>
      </c>
      <c r="AZ857" s="124" t="s">
        <v>77</v>
      </c>
    </row>
    <row r="858" customHeight="1" spans="51:52">
      <c r="AY858" s="134">
        <v>25280</v>
      </c>
      <c r="AZ858" s="124" t="s">
        <v>63</v>
      </c>
    </row>
    <row r="859" customHeight="1" spans="51:52">
      <c r="AY859" s="134">
        <v>25310</v>
      </c>
      <c r="AZ859" s="124" t="s">
        <v>83</v>
      </c>
    </row>
    <row r="860" customHeight="1" spans="51:52">
      <c r="AY860" s="134">
        <v>25339</v>
      </c>
      <c r="AZ860" s="124" t="s">
        <v>101</v>
      </c>
    </row>
    <row r="861" customHeight="1" spans="51:52">
      <c r="AY861" s="134">
        <v>25369</v>
      </c>
      <c r="AZ861" s="124" t="s">
        <v>117</v>
      </c>
    </row>
    <row r="862" customHeight="1" spans="51:52">
      <c r="AY862" s="134">
        <v>25398</v>
      </c>
      <c r="AZ862" s="124" t="s">
        <v>136</v>
      </c>
    </row>
    <row r="863" customHeight="1" spans="51:52">
      <c r="AY863" s="134">
        <v>25428</v>
      </c>
      <c r="AZ863" s="124" t="s">
        <v>155</v>
      </c>
    </row>
    <row r="864" customHeight="1" spans="51:52">
      <c r="AY864" s="134">
        <v>25458</v>
      </c>
      <c r="AZ864" s="124" t="s">
        <v>174</v>
      </c>
    </row>
    <row r="865" customHeight="1" spans="51:52">
      <c r="AY865" s="134">
        <v>25487</v>
      </c>
      <c r="AZ865" s="124" t="s">
        <v>186</v>
      </c>
    </row>
    <row r="866" customHeight="1" spans="51:52">
      <c r="AY866" s="134">
        <v>25517</v>
      </c>
      <c r="AZ866" s="124" t="s">
        <v>198</v>
      </c>
    </row>
    <row r="867" customHeight="1" spans="51:52">
      <c r="AY867" s="134">
        <v>25546</v>
      </c>
      <c r="AZ867" s="124" t="s">
        <v>233</v>
      </c>
    </row>
    <row r="868" customHeight="1" spans="51:52">
      <c r="AY868" s="134">
        <v>25576</v>
      </c>
      <c r="AZ868" s="124" t="s">
        <v>56</v>
      </c>
    </row>
    <row r="869" customHeight="1" spans="51:52">
      <c r="AY869" s="134">
        <v>25605</v>
      </c>
      <c r="AZ869" s="124" t="s">
        <v>77</v>
      </c>
    </row>
    <row r="870" customHeight="1" spans="51:52">
      <c r="AY870" s="134">
        <v>25635</v>
      </c>
      <c r="AZ870" s="124" t="s">
        <v>63</v>
      </c>
    </row>
    <row r="871" customHeight="1" spans="51:52">
      <c r="AY871" s="134">
        <v>25664</v>
      </c>
      <c r="AZ871" s="124" t="s">
        <v>83</v>
      </c>
    </row>
    <row r="872" customHeight="1" spans="51:52">
      <c r="AY872" s="134">
        <v>25693</v>
      </c>
      <c r="AZ872" s="124" t="s">
        <v>101</v>
      </c>
    </row>
    <row r="873" customHeight="1" spans="51:52">
      <c r="AY873" s="134">
        <v>25723</v>
      </c>
      <c r="AZ873" s="124" t="s">
        <v>117</v>
      </c>
    </row>
    <row r="874" customHeight="1" spans="51:52">
      <c r="AY874" s="134">
        <v>25752</v>
      </c>
      <c r="AZ874" s="124" t="s">
        <v>136</v>
      </c>
    </row>
    <row r="875" customHeight="1" spans="51:52">
      <c r="AY875" s="134">
        <v>25782</v>
      </c>
      <c r="AZ875" s="124" t="s">
        <v>155</v>
      </c>
    </row>
    <row r="876" customHeight="1" spans="51:52">
      <c r="AY876" s="134">
        <v>25812</v>
      </c>
      <c r="AZ876" s="124" t="s">
        <v>174</v>
      </c>
    </row>
    <row r="877" customHeight="1" spans="51:52">
      <c r="AY877" s="134">
        <v>25841</v>
      </c>
      <c r="AZ877" s="124" t="s">
        <v>186</v>
      </c>
    </row>
    <row r="878" customHeight="1" spans="51:52">
      <c r="AY878" s="134">
        <v>25871</v>
      </c>
      <c r="AZ878" s="124" t="s">
        <v>198</v>
      </c>
    </row>
    <row r="879" customHeight="1" spans="51:52">
      <c r="AY879" s="134">
        <v>25901</v>
      </c>
      <c r="AZ879" s="124" t="s">
        <v>233</v>
      </c>
    </row>
    <row r="880" customHeight="1" spans="51:52">
      <c r="AY880" s="134">
        <v>25930</v>
      </c>
      <c r="AZ880" s="124" t="s">
        <v>56</v>
      </c>
    </row>
    <row r="881" customHeight="1" spans="51:52">
      <c r="AY881" s="134">
        <v>25960</v>
      </c>
      <c r="AZ881" s="124" t="s">
        <v>77</v>
      </c>
    </row>
    <row r="882" customHeight="1" spans="51:52">
      <c r="AY882" s="134">
        <v>25989</v>
      </c>
      <c r="AZ882" s="124" t="s">
        <v>63</v>
      </c>
    </row>
    <row r="883" customHeight="1" spans="51:52">
      <c r="AY883" s="134">
        <v>26019</v>
      </c>
      <c r="AZ883" s="124" t="s">
        <v>83</v>
      </c>
    </row>
    <row r="884" customHeight="1" spans="51:52">
      <c r="AY884" s="134">
        <v>26048</v>
      </c>
      <c r="AZ884" s="124" t="s">
        <v>101</v>
      </c>
    </row>
    <row r="885" customHeight="1" spans="51:52">
      <c r="AY885" s="134">
        <v>26077</v>
      </c>
      <c r="AZ885" s="124" t="s">
        <v>117</v>
      </c>
    </row>
    <row r="886" customHeight="1" spans="51:52">
      <c r="AY886" s="134">
        <v>26107</v>
      </c>
      <c r="AZ886" s="124" t="s">
        <v>323</v>
      </c>
    </row>
    <row r="887" customHeight="1" spans="51:52">
      <c r="AY887" s="134">
        <v>26136</v>
      </c>
      <c r="AZ887" s="124" t="s">
        <v>136</v>
      </c>
    </row>
    <row r="888" customHeight="1" spans="51:52">
      <c r="AY888" s="134">
        <v>26166</v>
      </c>
      <c r="AZ888" s="124" t="s">
        <v>155</v>
      </c>
    </row>
    <row r="889" customHeight="1" spans="51:52">
      <c r="AY889" s="134">
        <v>26195</v>
      </c>
      <c r="AZ889" s="124" t="s">
        <v>174</v>
      </c>
    </row>
    <row r="890" customHeight="1" spans="51:52">
      <c r="AY890" s="134">
        <v>26225</v>
      </c>
      <c r="AZ890" s="124" t="s">
        <v>186</v>
      </c>
    </row>
    <row r="891" customHeight="1" spans="51:52">
      <c r="AY891" s="134">
        <v>26255</v>
      </c>
      <c r="AZ891" s="124" t="s">
        <v>198</v>
      </c>
    </row>
    <row r="892" customHeight="1" spans="51:52">
      <c r="AY892" s="134">
        <v>26285</v>
      </c>
      <c r="AZ892" s="124" t="s">
        <v>233</v>
      </c>
    </row>
    <row r="893" customHeight="1" spans="51:52">
      <c r="AY893" s="134">
        <v>26314</v>
      </c>
      <c r="AZ893" s="124" t="s">
        <v>56</v>
      </c>
    </row>
    <row r="894" customHeight="1" spans="51:52">
      <c r="AY894" s="134">
        <v>26344</v>
      </c>
      <c r="AZ894" s="124" t="s">
        <v>77</v>
      </c>
    </row>
    <row r="895" customHeight="1" spans="51:52">
      <c r="AY895" s="134">
        <v>26373</v>
      </c>
      <c r="AZ895" s="124" t="s">
        <v>63</v>
      </c>
    </row>
    <row r="896" customHeight="1" spans="51:52">
      <c r="AY896" s="134">
        <v>26403</v>
      </c>
      <c r="AZ896" s="124" t="s">
        <v>83</v>
      </c>
    </row>
    <row r="897" customHeight="1" spans="51:52">
      <c r="AY897" s="134">
        <v>26432</v>
      </c>
      <c r="AZ897" s="124" t="s">
        <v>101</v>
      </c>
    </row>
    <row r="898" customHeight="1" spans="51:52">
      <c r="AY898" s="134">
        <v>26461</v>
      </c>
      <c r="AZ898" s="124" t="s">
        <v>117</v>
      </c>
    </row>
    <row r="899" customHeight="1" spans="51:52">
      <c r="AY899" s="134">
        <v>26491</v>
      </c>
      <c r="AZ899" s="124" t="s">
        <v>136</v>
      </c>
    </row>
    <row r="900" customHeight="1" spans="51:52">
      <c r="AY900" s="134">
        <v>26520</v>
      </c>
      <c r="AZ900" s="124" t="s">
        <v>155</v>
      </c>
    </row>
    <row r="901" customHeight="1" spans="51:52">
      <c r="AY901" s="134">
        <v>26550</v>
      </c>
      <c r="AZ901" s="124" t="s">
        <v>174</v>
      </c>
    </row>
    <row r="902" customHeight="1" spans="51:52">
      <c r="AY902" s="134">
        <v>26579</v>
      </c>
      <c r="AZ902" s="124" t="s">
        <v>186</v>
      </c>
    </row>
    <row r="903" customHeight="1" spans="51:52">
      <c r="AY903" s="134">
        <v>26609</v>
      </c>
      <c r="AZ903" s="124" t="s">
        <v>198</v>
      </c>
    </row>
    <row r="904" customHeight="1" spans="51:52">
      <c r="AY904" s="134">
        <v>26639</v>
      </c>
      <c r="AZ904" s="124" t="s">
        <v>233</v>
      </c>
    </row>
    <row r="905" customHeight="1" spans="51:52">
      <c r="AY905" s="134">
        <v>26668</v>
      </c>
      <c r="AZ905" s="124" t="s">
        <v>56</v>
      </c>
    </row>
    <row r="906" customHeight="1" spans="51:52">
      <c r="AY906" s="134">
        <v>26698</v>
      </c>
      <c r="AZ906" s="124" t="s">
        <v>77</v>
      </c>
    </row>
    <row r="907" customHeight="1" spans="51:52">
      <c r="AY907" s="134">
        <v>26728</v>
      </c>
      <c r="AZ907" s="124" t="s">
        <v>63</v>
      </c>
    </row>
    <row r="908" customHeight="1" spans="51:52">
      <c r="AY908" s="134">
        <v>26757</v>
      </c>
      <c r="AZ908" s="124" t="s">
        <v>83</v>
      </c>
    </row>
    <row r="909" customHeight="1" spans="51:52">
      <c r="AY909" s="134">
        <v>26787</v>
      </c>
      <c r="AZ909" s="124" t="s">
        <v>101</v>
      </c>
    </row>
    <row r="910" customHeight="1" spans="51:52">
      <c r="AY910" s="134">
        <v>26816</v>
      </c>
      <c r="AZ910" s="124" t="s">
        <v>117</v>
      </c>
    </row>
    <row r="911" customHeight="1" spans="51:52">
      <c r="AY911" s="134">
        <v>26845</v>
      </c>
      <c r="AZ911" s="124" t="s">
        <v>136</v>
      </c>
    </row>
    <row r="912" customHeight="1" spans="51:52">
      <c r="AY912" s="134">
        <v>26875</v>
      </c>
      <c r="AZ912" s="124" t="s">
        <v>155</v>
      </c>
    </row>
    <row r="913" customHeight="1" spans="51:52">
      <c r="AY913" s="134">
        <v>26904</v>
      </c>
      <c r="AZ913" s="124" t="s">
        <v>174</v>
      </c>
    </row>
    <row r="914" customHeight="1" spans="51:52">
      <c r="AY914" s="134">
        <v>26933</v>
      </c>
      <c r="AZ914" s="124" t="s">
        <v>186</v>
      </c>
    </row>
    <row r="915" customHeight="1" spans="51:52">
      <c r="AY915" s="134">
        <v>26963</v>
      </c>
      <c r="AZ915" s="124" t="s">
        <v>198</v>
      </c>
    </row>
    <row r="916" customHeight="1" spans="51:52">
      <c r="AY916" s="134">
        <v>26993</v>
      </c>
      <c r="AZ916" s="124" t="s">
        <v>233</v>
      </c>
    </row>
    <row r="917" customHeight="1" spans="51:52">
      <c r="AY917" s="134">
        <v>27022</v>
      </c>
      <c r="AZ917" s="124" t="s">
        <v>56</v>
      </c>
    </row>
    <row r="918" customHeight="1" spans="51:52">
      <c r="AY918" s="134">
        <v>27052</v>
      </c>
      <c r="AZ918" s="124" t="s">
        <v>77</v>
      </c>
    </row>
    <row r="919" customHeight="1" spans="51:52">
      <c r="AY919" s="134">
        <v>27082</v>
      </c>
      <c r="AZ919" s="124" t="s">
        <v>63</v>
      </c>
    </row>
    <row r="920" customHeight="1" spans="51:52">
      <c r="AY920" s="134">
        <v>27112</v>
      </c>
      <c r="AZ920" s="124" t="s">
        <v>83</v>
      </c>
    </row>
    <row r="921" customHeight="1" spans="51:52">
      <c r="AY921" s="134">
        <v>27141</v>
      </c>
      <c r="AZ921" s="124" t="s">
        <v>101</v>
      </c>
    </row>
    <row r="922" customHeight="1" spans="51:52">
      <c r="AY922" s="134">
        <v>27171</v>
      </c>
      <c r="AZ922" s="124" t="s">
        <v>384</v>
      </c>
    </row>
    <row r="923" customHeight="1" spans="51:52">
      <c r="AY923" s="134">
        <v>27200</v>
      </c>
      <c r="AZ923" s="124" t="s">
        <v>117</v>
      </c>
    </row>
    <row r="924" customHeight="1" spans="51:52">
      <c r="AY924" s="134">
        <v>27229</v>
      </c>
      <c r="AZ924" s="124" t="s">
        <v>136</v>
      </c>
    </row>
    <row r="925" customHeight="1" spans="51:52">
      <c r="AY925" s="134">
        <v>27259</v>
      </c>
      <c r="AZ925" s="124" t="s">
        <v>155</v>
      </c>
    </row>
    <row r="926" customHeight="1" spans="51:52">
      <c r="AY926" s="134">
        <v>27288</v>
      </c>
      <c r="AZ926" s="124" t="s">
        <v>174</v>
      </c>
    </row>
    <row r="927" customHeight="1" spans="51:52">
      <c r="AY927" s="134">
        <v>27317</v>
      </c>
      <c r="AZ927" s="124" t="s">
        <v>186</v>
      </c>
    </row>
    <row r="928" customHeight="1" spans="51:52">
      <c r="AY928" s="134">
        <v>27347</v>
      </c>
      <c r="AZ928" s="124" t="s">
        <v>198</v>
      </c>
    </row>
    <row r="929" customHeight="1" spans="51:52">
      <c r="AY929" s="134">
        <v>27377</v>
      </c>
      <c r="AZ929" s="124" t="s">
        <v>233</v>
      </c>
    </row>
    <row r="930" customHeight="1" spans="51:52">
      <c r="AY930" s="134">
        <v>27406</v>
      </c>
      <c r="AZ930" s="124" t="s">
        <v>56</v>
      </c>
    </row>
    <row r="931" customHeight="1" spans="51:52">
      <c r="AY931" s="134">
        <v>27436</v>
      </c>
      <c r="AZ931" s="124" t="s">
        <v>77</v>
      </c>
    </row>
    <row r="932" customHeight="1" spans="51:52">
      <c r="AY932" s="134">
        <v>27466</v>
      </c>
      <c r="AZ932" s="124" t="s">
        <v>63</v>
      </c>
    </row>
    <row r="933" customHeight="1" spans="51:52">
      <c r="AY933" s="134">
        <v>27496</v>
      </c>
      <c r="AZ933" s="124" t="s">
        <v>83</v>
      </c>
    </row>
    <row r="934" customHeight="1" spans="51:52">
      <c r="AY934" s="134">
        <v>27525</v>
      </c>
      <c r="AZ934" s="124" t="s">
        <v>101</v>
      </c>
    </row>
    <row r="935" customHeight="1" spans="51:52">
      <c r="AY935" s="134">
        <v>27555</v>
      </c>
      <c r="AZ935" s="124" t="s">
        <v>117</v>
      </c>
    </row>
    <row r="936" customHeight="1" spans="51:52">
      <c r="AY936" s="134">
        <v>27584</v>
      </c>
      <c r="AZ936" s="124" t="s">
        <v>136</v>
      </c>
    </row>
    <row r="937" customHeight="1" spans="51:52">
      <c r="AY937" s="134">
        <v>27613</v>
      </c>
      <c r="AZ937" s="124" t="s">
        <v>155</v>
      </c>
    </row>
    <row r="938" customHeight="1" spans="51:52">
      <c r="AY938" s="134">
        <v>27643</v>
      </c>
      <c r="AZ938" s="124" t="s">
        <v>174</v>
      </c>
    </row>
    <row r="939" customHeight="1" spans="51:52">
      <c r="AY939" s="134">
        <v>27672</v>
      </c>
      <c r="AZ939" s="124" t="s">
        <v>186</v>
      </c>
    </row>
    <row r="940" customHeight="1" spans="51:52">
      <c r="AY940" s="134">
        <v>27701</v>
      </c>
      <c r="AZ940" s="124" t="s">
        <v>198</v>
      </c>
    </row>
    <row r="941" customHeight="1" spans="51:52">
      <c r="AY941" s="134">
        <v>27731</v>
      </c>
      <c r="AZ941" s="124" t="s">
        <v>233</v>
      </c>
    </row>
    <row r="942" customHeight="1" spans="51:52">
      <c r="AY942" s="134">
        <v>27760</v>
      </c>
      <c r="AZ942" s="124" t="s">
        <v>56</v>
      </c>
    </row>
    <row r="943" customHeight="1" spans="51:52">
      <c r="AY943" s="134">
        <v>27790</v>
      </c>
      <c r="AZ943" s="124" t="s">
        <v>77</v>
      </c>
    </row>
    <row r="944" customHeight="1" spans="51:52">
      <c r="AY944" s="134">
        <v>27820</v>
      </c>
      <c r="AZ944" s="124" t="s">
        <v>63</v>
      </c>
    </row>
    <row r="945" customHeight="1" spans="51:52">
      <c r="AY945" s="134">
        <v>27850</v>
      </c>
      <c r="AZ945" s="124" t="s">
        <v>83</v>
      </c>
    </row>
    <row r="946" customHeight="1" spans="51:52">
      <c r="AY946" s="134">
        <v>27879</v>
      </c>
      <c r="AZ946" s="124" t="s">
        <v>101</v>
      </c>
    </row>
    <row r="947" customHeight="1" spans="51:52">
      <c r="AY947" s="134">
        <v>27909</v>
      </c>
      <c r="AZ947" s="124" t="s">
        <v>117</v>
      </c>
    </row>
    <row r="948" customHeight="1" spans="51:52">
      <c r="AY948" s="134">
        <v>27938</v>
      </c>
      <c r="AZ948" s="124" t="s">
        <v>136</v>
      </c>
    </row>
    <row r="949" customHeight="1" spans="51:52">
      <c r="AY949" s="134">
        <v>27968</v>
      </c>
      <c r="AZ949" s="124" t="s">
        <v>155</v>
      </c>
    </row>
    <row r="950" customHeight="1" spans="51:52">
      <c r="AY950" s="134">
        <v>27997</v>
      </c>
      <c r="AZ950" s="124" t="s">
        <v>174</v>
      </c>
    </row>
    <row r="951" customHeight="1" spans="51:52">
      <c r="AY951" s="134">
        <v>28027</v>
      </c>
      <c r="AZ951" s="124" t="s">
        <v>206</v>
      </c>
    </row>
    <row r="952" customHeight="1" spans="51:52">
      <c r="AY952" s="134">
        <v>28056</v>
      </c>
      <c r="AZ952" s="124" t="s">
        <v>186</v>
      </c>
    </row>
    <row r="953" customHeight="1" spans="51:52">
      <c r="AY953" s="134">
        <v>28085</v>
      </c>
      <c r="AZ953" s="124" t="s">
        <v>198</v>
      </c>
    </row>
    <row r="954" customHeight="1" spans="51:52">
      <c r="AY954" s="134">
        <v>28115</v>
      </c>
      <c r="AZ954" s="124" t="s">
        <v>233</v>
      </c>
    </row>
    <row r="955" customHeight="1" spans="51:52">
      <c r="AY955" s="134">
        <v>28144</v>
      </c>
      <c r="AZ955" s="124" t="s">
        <v>56</v>
      </c>
    </row>
    <row r="956" customHeight="1" spans="51:52">
      <c r="AY956" s="134">
        <v>28174</v>
      </c>
      <c r="AZ956" s="124" t="s">
        <v>77</v>
      </c>
    </row>
    <row r="957" customHeight="1" spans="51:52">
      <c r="AY957" s="134">
        <v>28204</v>
      </c>
      <c r="AZ957" s="124" t="s">
        <v>63</v>
      </c>
    </row>
    <row r="958" customHeight="1" spans="51:52">
      <c r="AY958" s="134">
        <v>28233</v>
      </c>
      <c r="AZ958" s="124" t="s">
        <v>83</v>
      </c>
    </row>
    <row r="959" customHeight="1" spans="51:52">
      <c r="AY959" s="134">
        <v>28263</v>
      </c>
      <c r="AZ959" s="124" t="s">
        <v>101</v>
      </c>
    </row>
    <row r="960" customHeight="1" spans="51:52">
      <c r="AY960" s="134">
        <v>28293</v>
      </c>
      <c r="AZ960" s="124" t="s">
        <v>117</v>
      </c>
    </row>
    <row r="961" customHeight="1" spans="51:52">
      <c r="AY961" s="134">
        <v>28322</v>
      </c>
      <c r="AZ961" s="124" t="s">
        <v>136</v>
      </c>
    </row>
    <row r="962" customHeight="1" spans="51:52">
      <c r="AY962" s="134">
        <v>28352</v>
      </c>
      <c r="AZ962" s="124" t="s">
        <v>155</v>
      </c>
    </row>
    <row r="963" customHeight="1" spans="51:52">
      <c r="AY963" s="134">
        <v>28381</v>
      </c>
      <c r="AZ963" s="124" t="s">
        <v>174</v>
      </c>
    </row>
    <row r="964" customHeight="1" spans="51:52">
      <c r="AY964" s="134">
        <v>28411</v>
      </c>
      <c r="AZ964" s="124" t="s">
        <v>186</v>
      </c>
    </row>
    <row r="965" customHeight="1" spans="51:52">
      <c r="AY965" s="134">
        <v>28440</v>
      </c>
      <c r="AZ965" s="124" t="s">
        <v>198</v>
      </c>
    </row>
    <row r="966" customHeight="1" spans="51:52">
      <c r="AY966" s="134">
        <v>28470</v>
      </c>
      <c r="AZ966" s="124" t="s">
        <v>233</v>
      </c>
    </row>
    <row r="967" customHeight="1" spans="51:52">
      <c r="AY967" s="134">
        <v>28499</v>
      </c>
      <c r="AZ967" s="124" t="s">
        <v>56</v>
      </c>
    </row>
    <row r="968" customHeight="1" spans="51:52">
      <c r="AY968" s="134">
        <v>28528</v>
      </c>
      <c r="AZ968" s="124" t="s">
        <v>77</v>
      </c>
    </row>
    <row r="969" customHeight="1" spans="51:52">
      <c r="AY969" s="134">
        <v>28558</v>
      </c>
      <c r="AZ969" s="124" t="s">
        <v>63</v>
      </c>
    </row>
    <row r="970" customHeight="1" spans="51:52">
      <c r="AY970" s="134">
        <v>28587</v>
      </c>
      <c r="AZ970" s="124" t="s">
        <v>83</v>
      </c>
    </row>
    <row r="971" customHeight="1" spans="51:52">
      <c r="AY971" s="134">
        <v>28617</v>
      </c>
      <c r="AZ971" s="124" t="s">
        <v>101</v>
      </c>
    </row>
    <row r="972" customHeight="1" spans="51:52">
      <c r="AY972" s="134">
        <v>28647</v>
      </c>
      <c r="AZ972" s="124" t="s">
        <v>117</v>
      </c>
    </row>
    <row r="973" customHeight="1" spans="51:52">
      <c r="AY973" s="134">
        <v>28676</v>
      </c>
      <c r="AZ973" s="124" t="s">
        <v>136</v>
      </c>
    </row>
    <row r="974" customHeight="1" spans="51:52">
      <c r="AY974" s="134">
        <v>28706</v>
      </c>
      <c r="AZ974" s="124" t="s">
        <v>155</v>
      </c>
    </row>
    <row r="975" customHeight="1" spans="51:52">
      <c r="AY975" s="134">
        <v>28736</v>
      </c>
      <c r="AZ975" s="124" t="s">
        <v>174</v>
      </c>
    </row>
    <row r="976" customHeight="1" spans="51:52">
      <c r="AY976" s="134">
        <v>28765</v>
      </c>
      <c r="AZ976" s="124" t="s">
        <v>186</v>
      </c>
    </row>
    <row r="977" customHeight="1" spans="51:52">
      <c r="AY977" s="134">
        <v>28795</v>
      </c>
      <c r="AZ977" s="124" t="s">
        <v>198</v>
      </c>
    </row>
    <row r="978" customHeight="1" spans="51:52">
      <c r="AY978" s="134">
        <v>28824</v>
      </c>
      <c r="AZ978" s="124" t="s">
        <v>233</v>
      </c>
    </row>
    <row r="979" customHeight="1" spans="51:52">
      <c r="AY979" s="134">
        <v>28854</v>
      </c>
      <c r="AZ979" s="124" t="s">
        <v>56</v>
      </c>
    </row>
    <row r="980" customHeight="1" spans="51:52">
      <c r="AY980" s="134">
        <v>28883</v>
      </c>
      <c r="AZ980" s="124" t="s">
        <v>77</v>
      </c>
    </row>
    <row r="981" customHeight="1" spans="51:52">
      <c r="AY981" s="134">
        <v>28913</v>
      </c>
      <c r="AZ981" s="124" t="s">
        <v>63</v>
      </c>
    </row>
    <row r="982" customHeight="1" spans="51:52">
      <c r="AY982" s="134">
        <v>28942</v>
      </c>
      <c r="AZ982" s="124" t="s">
        <v>83</v>
      </c>
    </row>
    <row r="983" customHeight="1" spans="51:52">
      <c r="AY983" s="134">
        <v>28971</v>
      </c>
      <c r="AZ983" s="124" t="s">
        <v>101</v>
      </c>
    </row>
    <row r="984" customHeight="1" spans="51:52">
      <c r="AY984" s="134">
        <v>29001</v>
      </c>
      <c r="AZ984" s="124" t="s">
        <v>117</v>
      </c>
    </row>
    <row r="985" customHeight="1" spans="51:52">
      <c r="AY985" s="134">
        <v>29030</v>
      </c>
      <c r="AZ985" s="124" t="s">
        <v>136</v>
      </c>
    </row>
    <row r="986" customHeight="1" spans="51:52">
      <c r="AY986" s="134">
        <v>29060</v>
      </c>
      <c r="AZ986" s="124" t="s">
        <v>392</v>
      </c>
    </row>
    <row r="987" customHeight="1" spans="51:52">
      <c r="AY987" s="134">
        <v>29090</v>
      </c>
      <c r="AZ987" s="124" t="s">
        <v>155</v>
      </c>
    </row>
    <row r="988" customHeight="1" spans="51:52">
      <c r="AY988" s="134">
        <v>29119</v>
      </c>
      <c r="AZ988" s="124" t="s">
        <v>174</v>
      </c>
    </row>
    <row r="989" customHeight="1" spans="51:52">
      <c r="AY989" s="134">
        <v>29149</v>
      </c>
      <c r="AZ989" s="124" t="s">
        <v>186</v>
      </c>
    </row>
    <row r="990" customHeight="1" spans="51:52">
      <c r="AY990" s="134">
        <v>29179</v>
      </c>
      <c r="AZ990" s="124" t="s">
        <v>198</v>
      </c>
    </row>
    <row r="991" customHeight="1" spans="51:52">
      <c r="AY991" s="134">
        <v>29208</v>
      </c>
      <c r="AZ991" s="124" t="s">
        <v>233</v>
      </c>
    </row>
    <row r="992" customHeight="1" spans="51:52">
      <c r="AY992" s="134">
        <v>29238</v>
      </c>
      <c r="AZ992" s="124" t="s">
        <v>56</v>
      </c>
    </row>
    <row r="993" customHeight="1" spans="51:52">
      <c r="AY993" s="134">
        <v>29267</v>
      </c>
      <c r="AZ993" s="124" t="s">
        <v>77</v>
      </c>
    </row>
    <row r="994" customHeight="1" spans="51:52">
      <c r="AY994" s="134">
        <v>29297</v>
      </c>
      <c r="AZ994" s="124" t="s">
        <v>63</v>
      </c>
    </row>
    <row r="995" customHeight="1" spans="51:52">
      <c r="AY995" s="134">
        <v>29326</v>
      </c>
      <c r="AZ995" s="124" t="s">
        <v>83</v>
      </c>
    </row>
    <row r="996" customHeight="1" spans="51:52">
      <c r="AY996" s="134">
        <v>29355</v>
      </c>
      <c r="AZ996" s="124" t="s">
        <v>101</v>
      </c>
    </row>
    <row r="997" customHeight="1" spans="51:52">
      <c r="AY997" s="134">
        <v>29385</v>
      </c>
      <c r="AZ997" s="124" t="s">
        <v>117</v>
      </c>
    </row>
    <row r="998" customHeight="1" spans="51:52">
      <c r="AY998" s="134">
        <v>29414</v>
      </c>
      <c r="AZ998" s="124" t="s">
        <v>136</v>
      </c>
    </row>
    <row r="999" customHeight="1" spans="51:52">
      <c r="AY999" s="134">
        <v>29444</v>
      </c>
      <c r="AZ999" s="124" t="s">
        <v>155</v>
      </c>
    </row>
    <row r="1000" customHeight="1" spans="51:52">
      <c r="AY1000" s="134">
        <v>29473</v>
      </c>
      <c r="AZ1000" s="124" t="s">
        <v>174</v>
      </c>
    </row>
    <row r="1001" customHeight="1" spans="51:52">
      <c r="AY1001" s="134">
        <v>29503</v>
      </c>
      <c r="AZ1001" s="124" t="s">
        <v>186</v>
      </c>
    </row>
    <row r="1002" customHeight="1" spans="51:52">
      <c r="AY1002" s="134">
        <v>29533</v>
      </c>
      <c r="AZ1002" s="124" t="s">
        <v>198</v>
      </c>
    </row>
    <row r="1003" customHeight="1" spans="51:52">
      <c r="AY1003" s="134">
        <v>29562</v>
      </c>
      <c r="AZ1003" s="124" t="s">
        <v>233</v>
      </c>
    </row>
    <row r="1004" customHeight="1" spans="51:52">
      <c r="AY1004" s="134">
        <v>29592</v>
      </c>
      <c r="AZ1004" s="124" t="s">
        <v>56</v>
      </c>
    </row>
    <row r="1005" customHeight="1" spans="51:52">
      <c r="AY1005" s="134">
        <v>29622</v>
      </c>
      <c r="AZ1005" s="124" t="s">
        <v>77</v>
      </c>
    </row>
    <row r="1006" customHeight="1" spans="51:52">
      <c r="AY1006" s="134">
        <v>29651</v>
      </c>
      <c r="AZ1006" s="124" t="s">
        <v>63</v>
      </c>
    </row>
    <row r="1007" customHeight="1" spans="51:52">
      <c r="AY1007" s="134">
        <v>29681</v>
      </c>
      <c r="AZ1007" s="124" t="s">
        <v>83</v>
      </c>
    </row>
    <row r="1008" customHeight="1" spans="51:52">
      <c r="AY1008" s="134">
        <v>29710</v>
      </c>
      <c r="AZ1008" s="124" t="s">
        <v>101</v>
      </c>
    </row>
    <row r="1009" customHeight="1" spans="51:52">
      <c r="AY1009" s="134">
        <v>29739</v>
      </c>
      <c r="AZ1009" s="124" t="s">
        <v>117</v>
      </c>
    </row>
    <row r="1010" customHeight="1" spans="51:52">
      <c r="AY1010" s="134">
        <v>29769</v>
      </c>
      <c r="AZ1010" s="124" t="s">
        <v>136</v>
      </c>
    </row>
    <row r="1011" customHeight="1" spans="51:52">
      <c r="AY1011" s="134">
        <v>29798</v>
      </c>
      <c r="AZ1011" s="124" t="s">
        <v>155</v>
      </c>
    </row>
    <row r="1012" customHeight="1" spans="51:52">
      <c r="AY1012" s="134">
        <v>29827</v>
      </c>
      <c r="AZ1012" s="124" t="s">
        <v>174</v>
      </c>
    </row>
    <row r="1013" customHeight="1" spans="51:52">
      <c r="AY1013" s="134">
        <v>29857</v>
      </c>
      <c r="AZ1013" s="124" t="s">
        <v>186</v>
      </c>
    </row>
    <row r="1014" customHeight="1" spans="51:52">
      <c r="AY1014" s="134">
        <v>29887</v>
      </c>
      <c r="AZ1014" s="124" t="s">
        <v>198</v>
      </c>
    </row>
    <row r="1015" customHeight="1" spans="51:52">
      <c r="AY1015" s="134">
        <v>29916</v>
      </c>
      <c r="AZ1015" s="124" t="s">
        <v>233</v>
      </c>
    </row>
    <row r="1016" customHeight="1" spans="51:52">
      <c r="AY1016" s="134">
        <v>29946</v>
      </c>
      <c r="AZ1016" s="124" t="s">
        <v>56</v>
      </c>
    </row>
    <row r="1017" customHeight="1" spans="51:52">
      <c r="AY1017" s="134">
        <v>29976</v>
      </c>
      <c r="AZ1017" s="124" t="s">
        <v>77</v>
      </c>
    </row>
    <row r="1018" customHeight="1" spans="51:52">
      <c r="AY1018" s="134">
        <v>30006</v>
      </c>
      <c r="AZ1018" s="124" t="s">
        <v>63</v>
      </c>
    </row>
    <row r="1019" customHeight="1" spans="51:52">
      <c r="AY1019" s="134">
        <v>30035</v>
      </c>
      <c r="AZ1019" s="124" t="s">
        <v>83</v>
      </c>
    </row>
    <row r="1020" customHeight="1" spans="51:52">
      <c r="AY1020" s="134">
        <v>30065</v>
      </c>
      <c r="AZ1020" s="124" t="s">
        <v>101</v>
      </c>
    </row>
    <row r="1021" customHeight="1" spans="51:52">
      <c r="AY1021" s="134">
        <v>30094</v>
      </c>
      <c r="AZ1021" s="124" t="s">
        <v>384</v>
      </c>
    </row>
    <row r="1022" customHeight="1" spans="51:52">
      <c r="AY1022" s="134">
        <v>30123</v>
      </c>
      <c r="AZ1022" s="124" t="s">
        <v>117</v>
      </c>
    </row>
    <row r="1023" customHeight="1" spans="51:52">
      <c r="AY1023" s="134">
        <v>30153</v>
      </c>
      <c r="AZ1023" s="124" t="s">
        <v>136</v>
      </c>
    </row>
    <row r="1024" customHeight="1" spans="51:52">
      <c r="AY1024" s="134">
        <v>30182</v>
      </c>
      <c r="AZ1024" s="124" t="s">
        <v>155</v>
      </c>
    </row>
    <row r="1025" customHeight="1" spans="51:52">
      <c r="AY1025" s="134">
        <v>30211</v>
      </c>
      <c r="AZ1025" s="124" t="s">
        <v>174</v>
      </c>
    </row>
    <row r="1026" customHeight="1" spans="51:52">
      <c r="AY1026" s="134">
        <v>30241</v>
      </c>
      <c r="AZ1026" s="124" t="s">
        <v>186</v>
      </c>
    </row>
    <row r="1027" customHeight="1" spans="51:52">
      <c r="AY1027" s="134">
        <v>30270</v>
      </c>
      <c r="AZ1027" s="124" t="s">
        <v>198</v>
      </c>
    </row>
    <row r="1028" customHeight="1" spans="51:52">
      <c r="AY1028" s="134">
        <v>30300</v>
      </c>
      <c r="AZ1028" s="124" t="s">
        <v>233</v>
      </c>
    </row>
    <row r="1029" customHeight="1" spans="51:52">
      <c r="AY1029" s="134">
        <v>30330</v>
      </c>
      <c r="AZ1029" s="124" t="s">
        <v>56</v>
      </c>
    </row>
    <row r="1030" customHeight="1" spans="51:52">
      <c r="AY1030" s="134">
        <v>30360</v>
      </c>
      <c r="AZ1030" s="124" t="s">
        <v>77</v>
      </c>
    </row>
    <row r="1031" customHeight="1" spans="51:52">
      <c r="AY1031" s="134">
        <v>30390</v>
      </c>
      <c r="AZ1031" s="124" t="s">
        <v>63</v>
      </c>
    </row>
    <row r="1032" customHeight="1" spans="51:52">
      <c r="AY1032" s="134">
        <v>30419</v>
      </c>
      <c r="AZ1032" s="124" t="s">
        <v>83</v>
      </c>
    </row>
    <row r="1033" customHeight="1" spans="51:52">
      <c r="AY1033" s="134">
        <v>30449</v>
      </c>
      <c r="AZ1033" s="124" t="s">
        <v>101</v>
      </c>
    </row>
    <row r="1034" customHeight="1" spans="51:52">
      <c r="AY1034" s="134">
        <v>30478</v>
      </c>
      <c r="AZ1034" s="124" t="s">
        <v>117</v>
      </c>
    </row>
    <row r="1035" customHeight="1" spans="51:52">
      <c r="AY1035" s="134">
        <v>30507</v>
      </c>
      <c r="AZ1035" s="124" t="s">
        <v>136</v>
      </c>
    </row>
    <row r="1036" customHeight="1" spans="51:52">
      <c r="AY1036" s="134">
        <v>30537</v>
      </c>
      <c r="AZ1036" s="124" t="s">
        <v>155</v>
      </c>
    </row>
    <row r="1037" customHeight="1" spans="51:52">
      <c r="AY1037" s="134">
        <v>30566</v>
      </c>
      <c r="AZ1037" s="124" t="s">
        <v>174</v>
      </c>
    </row>
    <row r="1038" customHeight="1" spans="51:52">
      <c r="AY1038" s="134">
        <v>30595</v>
      </c>
      <c r="AZ1038" s="124" t="s">
        <v>186</v>
      </c>
    </row>
    <row r="1039" customHeight="1" spans="51:52">
      <c r="AY1039" s="134">
        <v>30625</v>
      </c>
      <c r="AZ1039" s="124" t="s">
        <v>198</v>
      </c>
    </row>
    <row r="1040" customHeight="1" spans="51:52">
      <c r="AY1040" s="134">
        <v>30654</v>
      </c>
      <c r="AZ1040" s="124" t="s">
        <v>233</v>
      </c>
    </row>
    <row r="1041" customHeight="1" spans="51:52">
      <c r="AY1041" s="134">
        <v>30684</v>
      </c>
      <c r="AZ1041" s="124" t="s">
        <v>56</v>
      </c>
    </row>
    <row r="1042" customHeight="1" spans="51:52">
      <c r="AY1042" s="134">
        <v>30714</v>
      </c>
      <c r="AZ1042" s="124" t="s">
        <v>77</v>
      </c>
    </row>
    <row r="1043" customHeight="1" spans="51:52">
      <c r="AY1043" s="134">
        <v>30744</v>
      </c>
      <c r="AZ1043" s="124" t="s">
        <v>63</v>
      </c>
    </row>
    <row r="1044" customHeight="1" spans="51:52">
      <c r="AY1044" s="134">
        <v>30773</v>
      </c>
      <c r="AZ1044" s="124" t="s">
        <v>83</v>
      </c>
    </row>
    <row r="1045" customHeight="1" spans="51:52">
      <c r="AY1045" s="134">
        <v>30803</v>
      </c>
      <c r="AZ1045" s="124" t="s">
        <v>101</v>
      </c>
    </row>
    <row r="1046" customHeight="1" spans="51:52">
      <c r="AY1046" s="134">
        <v>30833</v>
      </c>
      <c r="AZ1046" s="124" t="s">
        <v>117</v>
      </c>
    </row>
    <row r="1047" customHeight="1" spans="51:52">
      <c r="AY1047" s="134">
        <v>30862</v>
      </c>
      <c r="AZ1047" s="124" t="s">
        <v>136</v>
      </c>
    </row>
    <row r="1048" customHeight="1" spans="51:52">
      <c r="AY1048" s="134">
        <v>30891</v>
      </c>
      <c r="AZ1048" s="124" t="s">
        <v>155</v>
      </c>
    </row>
    <row r="1049" customHeight="1" spans="51:52">
      <c r="AY1049" s="134">
        <v>30921</v>
      </c>
      <c r="AZ1049" s="124" t="s">
        <v>174</v>
      </c>
    </row>
    <row r="1050" customHeight="1" spans="51:52">
      <c r="AY1050" s="134">
        <v>30950</v>
      </c>
      <c r="AZ1050" s="124" t="s">
        <v>186</v>
      </c>
    </row>
    <row r="1051" customHeight="1" spans="51:52">
      <c r="AY1051" s="134">
        <v>30979</v>
      </c>
      <c r="AZ1051" s="124" t="s">
        <v>198</v>
      </c>
    </row>
    <row r="1052" customHeight="1" spans="51:52">
      <c r="AY1052" s="134">
        <v>31009</v>
      </c>
      <c r="AZ1052" s="124" t="s">
        <v>405</v>
      </c>
    </row>
    <row r="1053" customHeight="1" spans="51:52">
      <c r="AY1053" s="134">
        <v>31038</v>
      </c>
      <c r="AZ1053" s="124" t="s">
        <v>233</v>
      </c>
    </row>
    <row r="1054" customHeight="1" spans="51:52">
      <c r="AY1054" s="134">
        <v>31068</v>
      </c>
      <c r="AZ1054" s="124" t="s">
        <v>56</v>
      </c>
    </row>
    <row r="1055" customHeight="1" spans="51:52">
      <c r="AY1055" s="134">
        <v>31098</v>
      </c>
      <c r="AZ1055" s="124" t="s">
        <v>77</v>
      </c>
    </row>
    <row r="1056" customHeight="1" spans="51:52">
      <c r="AY1056" s="134">
        <v>31127</v>
      </c>
      <c r="AZ1056" s="124" t="s">
        <v>63</v>
      </c>
    </row>
    <row r="1057" customHeight="1" spans="51:52">
      <c r="AY1057" s="134">
        <v>31157</v>
      </c>
      <c r="AZ1057" s="124" t="s">
        <v>83</v>
      </c>
    </row>
    <row r="1058" customHeight="1" spans="51:52">
      <c r="AY1058" s="134">
        <v>31187</v>
      </c>
      <c r="AZ1058" s="124" t="s">
        <v>101</v>
      </c>
    </row>
    <row r="1059" customHeight="1" spans="51:52">
      <c r="AY1059" s="134">
        <v>31216</v>
      </c>
      <c r="AZ1059" s="124" t="s">
        <v>117</v>
      </c>
    </row>
    <row r="1060" customHeight="1" spans="51:52">
      <c r="AY1060" s="134">
        <v>31246</v>
      </c>
      <c r="AZ1060" s="124" t="s">
        <v>136</v>
      </c>
    </row>
    <row r="1061" customHeight="1" spans="51:52">
      <c r="AY1061" s="134">
        <v>31275</v>
      </c>
      <c r="AZ1061" s="124" t="s">
        <v>155</v>
      </c>
    </row>
    <row r="1062" customHeight="1" spans="51:52">
      <c r="AY1062" s="134">
        <v>31305</v>
      </c>
      <c r="AZ1062" s="124" t="s">
        <v>174</v>
      </c>
    </row>
    <row r="1063" customHeight="1" spans="51:52">
      <c r="AY1063" s="134">
        <v>31334</v>
      </c>
      <c r="AZ1063" s="124" t="s">
        <v>186</v>
      </c>
    </row>
    <row r="1064" customHeight="1" spans="51:52">
      <c r="AY1064" s="134">
        <v>31363</v>
      </c>
      <c r="AZ1064" s="124" t="s">
        <v>198</v>
      </c>
    </row>
    <row r="1065" customHeight="1" spans="51:52">
      <c r="AY1065" s="134">
        <v>31393</v>
      </c>
      <c r="AZ1065" s="124" t="s">
        <v>233</v>
      </c>
    </row>
    <row r="1066" customHeight="1" spans="51:52">
      <c r="AY1066" s="134">
        <v>31422</v>
      </c>
      <c r="AZ1066" s="124" t="s">
        <v>56</v>
      </c>
    </row>
    <row r="1067" customHeight="1" spans="51:52">
      <c r="AY1067" s="134">
        <v>31452</v>
      </c>
      <c r="AZ1067" s="124" t="s">
        <v>77</v>
      </c>
    </row>
    <row r="1068" customHeight="1" spans="51:52">
      <c r="AY1068" s="134">
        <v>31481</v>
      </c>
      <c r="AZ1068" s="124" t="s">
        <v>63</v>
      </c>
    </row>
    <row r="1069" customHeight="1" spans="51:52">
      <c r="AY1069" s="134">
        <v>31511</v>
      </c>
      <c r="AZ1069" s="124" t="s">
        <v>83</v>
      </c>
    </row>
    <row r="1070" customHeight="1" spans="51:52">
      <c r="AY1070" s="134">
        <v>31541</v>
      </c>
      <c r="AZ1070" s="124" t="s">
        <v>101</v>
      </c>
    </row>
    <row r="1071" customHeight="1" spans="51:52">
      <c r="AY1071" s="134">
        <v>31570</v>
      </c>
      <c r="AZ1071" s="124" t="s">
        <v>117</v>
      </c>
    </row>
    <row r="1072" customHeight="1" spans="51:52">
      <c r="AY1072" s="134">
        <v>31600</v>
      </c>
      <c r="AZ1072" s="124" t="s">
        <v>136</v>
      </c>
    </row>
    <row r="1073" customHeight="1" spans="51:52">
      <c r="AY1073" s="134">
        <v>31630</v>
      </c>
      <c r="AZ1073" s="124" t="s">
        <v>155</v>
      </c>
    </row>
    <row r="1074" customHeight="1" spans="51:52">
      <c r="AY1074" s="134">
        <v>31659</v>
      </c>
      <c r="AZ1074" s="124" t="s">
        <v>174</v>
      </c>
    </row>
    <row r="1075" customHeight="1" spans="51:52">
      <c r="AY1075" s="134">
        <v>31689</v>
      </c>
      <c r="AZ1075" s="124" t="s">
        <v>186</v>
      </c>
    </row>
    <row r="1076" customHeight="1" spans="51:52">
      <c r="AY1076" s="134">
        <v>31718</v>
      </c>
      <c r="AZ1076" s="124" t="s">
        <v>198</v>
      </c>
    </row>
    <row r="1077" customHeight="1" spans="51:52">
      <c r="AY1077" s="134">
        <v>31748</v>
      </c>
      <c r="AZ1077" s="124" t="s">
        <v>233</v>
      </c>
    </row>
    <row r="1078" customHeight="1" spans="51:52">
      <c r="AY1078" s="134">
        <v>31777</v>
      </c>
      <c r="AZ1078" s="124" t="s">
        <v>56</v>
      </c>
    </row>
    <row r="1079" customHeight="1" spans="51:52">
      <c r="AY1079" s="134">
        <v>31806</v>
      </c>
      <c r="AZ1079" s="124" t="s">
        <v>77</v>
      </c>
    </row>
    <row r="1080" customHeight="1" spans="51:52">
      <c r="AY1080" s="134">
        <v>31836</v>
      </c>
      <c r="AZ1080" s="124" t="s">
        <v>63</v>
      </c>
    </row>
    <row r="1081" customHeight="1" spans="51:52">
      <c r="AY1081" s="134">
        <v>31865</v>
      </c>
      <c r="AZ1081" s="124" t="s">
        <v>83</v>
      </c>
    </row>
    <row r="1082" customHeight="1" spans="51:52">
      <c r="AY1082" s="134">
        <v>31895</v>
      </c>
      <c r="AZ1082" s="124" t="s">
        <v>101</v>
      </c>
    </row>
    <row r="1083" customHeight="1" spans="51:52">
      <c r="AY1083" s="134">
        <v>31924</v>
      </c>
      <c r="AZ1083" s="124" t="s">
        <v>117</v>
      </c>
    </row>
    <row r="1084" customHeight="1" spans="51:52">
      <c r="AY1084" s="134">
        <v>31954</v>
      </c>
      <c r="AZ1084" s="124" t="s">
        <v>136</v>
      </c>
    </row>
    <row r="1085" customHeight="1" spans="51:52">
      <c r="AY1085" s="134">
        <v>31984</v>
      </c>
      <c r="AZ1085" s="124" t="s">
        <v>392</v>
      </c>
    </row>
    <row r="1086" customHeight="1" spans="51:52">
      <c r="AY1086" s="134">
        <v>32013</v>
      </c>
      <c r="AZ1086" s="124" t="s">
        <v>155</v>
      </c>
    </row>
    <row r="1087" customHeight="1" spans="51:52">
      <c r="AY1087" s="134">
        <v>32043</v>
      </c>
      <c r="AZ1087" s="124" t="s">
        <v>174</v>
      </c>
    </row>
    <row r="1088" customHeight="1" spans="51:52">
      <c r="AY1088" s="134">
        <v>32073</v>
      </c>
      <c r="AZ1088" s="124" t="s">
        <v>186</v>
      </c>
    </row>
    <row r="1089" customHeight="1" spans="51:52">
      <c r="AY1089" s="134">
        <v>32102</v>
      </c>
      <c r="AZ1089" s="124" t="s">
        <v>198</v>
      </c>
    </row>
    <row r="1090" customHeight="1" spans="51:52">
      <c r="AY1090" s="134">
        <v>32132</v>
      </c>
      <c r="AZ1090" s="124" t="s">
        <v>233</v>
      </c>
    </row>
    <row r="1091" customHeight="1" spans="51:52">
      <c r="AY1091" s="134">
        <v>32161</v>
      </c>
      <c r="AZ1091" s="124" t="s">
        <v>56</v>
      </c>
    </row>
    <row r="1092" customHeight="1" spans="51:52">
      <c r="AY1092" s="134">
        <v>32190</v>
      </c>
      <c r="AZ1092" s="124" t="s">
        <v>77</v>
      </c>
    </row>
    <row r="1093" customHeight="1" spans="51:52">
      <c r="AY1093" s="134">
        <v>32220</v>
      </c>
      <c r="AZ1093" s="124" t="s">
        <v>63</v>
      </c>
    </row>
    <row r="1094" customHeight="1" spans="51:52">
      <c r="AY1094" s="134">
        <v>32249</v>
      </c>
      <c r="AZ1094" s="124" t="s">
        <v>83</v>
      </c>
    </row>
    <row r="1095" customHeight="1" spans="51:52">
      <c r="AY1095" s="134">
        <v>32279</v>
      </c>
      <c r="AZ1095" s="124" t="s">
        <v>101</v>
      </c>
    </row>
    <row r="1096" customHeight="1" spans="51:52">
      <c r="AY1096" s="134">
        <v>32308</v>
      </c>
      <c r="AZ1096" s="124" t="s">
        <v>117</v>
      </c>
    </row>
    <row r="1097" customHeight="1" spans="51:52">
      <c r="AY1097" s="134">
        <v>32338</v>
      </c>
      <c r="AZ1097" s="124" t="s">
        <v>136</v>
      </c>
    </row>
    <row r="1098" customHeight="1" spans="51:52">
      <c r="AY1098" s="134">
        <v>32367</v>
      </c>
      <c r="AZ1098" s="124" t="s">
        <v>155</v>
      </c>
    </row>
    <row r="1099" customHeight="1" spans="51:52">
      <c r="AY1099" s="134">
        <v>32397</v>
      </c>
      <c r="AZ1099" s="124" t="s">
        <v>174</v>
      </c>
    </row>
    <row r="1100" customHeight="1" spans="51:52">
      <c r="AY1100" s="134">
        <v>32427</v>
      </c>
      <c r="AZ1100" s="124" t="s">
        <v>186</v>
      </c>
    </row>
    <row r="1101" customHeight="1" spans="51:52">
      <c r="AY1101" s="134">
        <v>32456</v>
      </c>
      <c r="AZ1101" s="124" t="s">
        <v>198</v>
      </c>
    </row>
    <row r="1102" customHeight="1" spans="51:52">
      <c r="AY1102" s="134">
        <v>32486</v>
      </c>
      <c r="AZ1102" s="124" t="s">
        <v>233</v>
      </c>
    </row>
    <row r="1103" customHeight="1" spans="51:52">
      <c r="AY1103" s="134">
        <v>32516</v>
      </c>
      <c r="AZ1103" s="124" t="s">
        <v>56</v>
      </c>
    </row>
    <row r="1104" customHeight="1" spans="51:52">
      <c r="AY1104" s="134">
        <v>32545</v>
      </c>
      <c r="AZ1104" s="124" t="s">
        <v>77</v>
      </c>
    </row>
    <row r="1105" customHeight="1" spans="51:52">
      <c r="AY1105" s="134">
        <v>32575</v>
      </c>
      <c r="AZ1105" s="124" t="s">
        <v>63</v>
      </c>
    </row>
    <row r="1106" customHeight="1" spans="51:52">
      <c r="AY1106" s="134">
        <v>32604</v>
      </c>
      <c r="AZ1106" s="124" t="s">
        <v>83</v>
      </c>
    </row>
    <row r="1107" customHeight="1" spans="51:52">
      <c r="AY1107" s="134">
        <v>32633</v>
      </c>
      <c r="AZ1107" s="124" t="s">
        <v>101</v>
      </c>
    </row>
    <row r="1108" customHeight="1" spans="51:52">
      <c r="AY1108" s="134">
        <v>32663</v>
      </c>
      <c r="AZ1108" s="124" t="s">
        <v>117</v>
      </c>
    </row>
    <row r="1109" customHeight="1" spans="51:52">
      <c r="AY1109" s="134">
        <v>32692</v>
      </c>
      <c r="AZ1109" s="124" t="s">
        <v>136</v>
      </c>
    </row>
    <row r="1110" customHeight="1" spans="51:52">
      <c r="AY1110" s="135">
        <v>32722</v>
      </c>
      <c r="AZ1110" s="124" t="s">
        <v>155</v>
      </c>
    </row>
    <row r="1111" customHeight="1" spans="51:52">
      <c r="AY1111" s="134">
        <v>32751</v>
      </c>
      <c r="AZ1111" s="124" t="s">
        <v>174</v>
      </c>
    </row>
    <row r="1112" customHeight="1" spans="51:52">
      <c r="AY1112" s="134">
        <v>32781</v>
      </c>
      <c r="AZ1112" s="124" t="s">
        <v>186</v>
      </c>
    </row>
    <row r="1113" customHeight="1" spans="51:52">
      <c r="AY1113" s="134">
        <v>32810</v>
      </c>
      <c r="AZ1113" s="124" t="s">
        <v>198</v>
      </c>
    </row>
    <row r="1114" customHeight="1" spans="51:52">
      <c r="AY1114" s="134">
        <v>32840</v>
      </c>
      <c r="AZ1114" s="124" t="s">
        <v>233</v>
      </c>
    </row>
    <row r="1115" customHeight="1" spans="51:52">
      <c r="AY1115" s="134">
        <v>32870</v>
      </c>
      <c r="AZ1115" s="124" t="s">
        <v>56</v>
      </c>
    </row>
    <row r="1116" customHeight="1" spans="51:52">
      <c r="AY1116" s="134">
        <v>32900</v>
      </c>
      <c r="AZ1116" s="124" t="s">
        <v>77</v>
      </c>
    </row>
    <row r="1117" customHeight="1" spans="51:52">
      <c r="AY1117" s="134">
        <v>32929</v>
      </c>
      <c r="AZ1117" s="124" t="s">
        <v>63</v>
      </c>
    </row>
    <row r="1118" customHeight="1" spans="51:52">
      <c r="AY1118" s="134">
        <v>32959</v>
      </c>
      <c r="AZ1118" s="124" t="s">
        <v>83</v>
      </c>
    </row>
    <row r="1119" customHeight="1" spans="51:52">
      <c r="AY1119" s="134">
        <v>32988</v>
      </c>
      <c r="AZ1119" s="124" t="s">
        <v>101</v>
      </c>
    </row>
    <row r="1120" customHeight="1" spans="51:52">
      <c r="AY1120" s="134">
        <v>33017</v>
      </c>
      <c r="AZ1120" s="124" t="s">
        <v>117</v>
      </c>
    </row>
    <row r="1121" customHeight="1" spans="51:52">
      <c r="AY1121" s="134">
        <v>33047</v>
      </c>
      <c r="AZ1121" s="124" t="s">
        <v>323</v>
      </c>
    </row>
    <row r="1122" customHeight="1" spans="51:52">
      <c r="AY1122" s="134">
        <v>33076</v>
      </c>
      <c r="AZ1122" s="124" t="s">
        <v>136</v>
      </c>
    </row>
    <row r="1123" customHeight="1" spans="51:52">
      <c r="AY1123" s="134">
        <v>33105</v>
      </c>
      <c r="AZ1123" s="124" t="s">
        <v>155</v>
      </c>
    </row>
    <row r="1124" customHeight="1" spans="51:52">
      <c r="AY1124" s="134">
        <v>33135</v>
      </c>
      <c r="AZ1124" s="124" t="s">
        <v>174</v>
      </c>
    </row>
    <row r="1125" customHeight="1" spans="51:52">
      <c r="AY1125" s="134">
        <v>33164</v>
      </c>
      <c r="AZ1125" s="124" t="s">
        <v>186</v>
      </c>
    </row>
    <row r="1126" customHeight="1" spans="51:52">
      <c r="AY1126" s="134">
        <v>33194</v>
      </c>
      <c r="AZ1126" s="124" t="s">
        <v>198</v>
      </c>
    </row>
    <row r="1127" customHeight="1" spans="51:52">
      <c r="AY1127" s="134">
        <v>33224</v>
      </c>
      <c r="AZ1127" s="124" t="s">
        <v>233</v>
      </c>
    </row>
    <row r="1128" customHeight="1" spans="51:52">
      <c r="AY1128" s="134">
        <v>33254</v>
      </c>
      <c r="AZ1128" s="124" t="s">
        <v>56</v>
      </c>
    </row>
    <row r="1129" customHeight="1" spans="51:52">
      <c r="AY1129" s="134">
        <v>33284</v>
      </c>
      <c r="AZ1129" s="124" t="s">
        <v>77</v>
      </c>
    </row>
    <row r="1130" customHeight="1" spans="51:52">
      <c r="AY1130" s="134">
        <v>33313</v>
      </c>
      <c r="AZ1130" s="124" t="s">
        <v>63</v>
      </c>
    </row>
    <row r="1131" customHeight="1" spans="51:52">
      <c r="AY1131" s="134">
        <v>33343</v>
      </c>
      <c r="AZ1131" s="124" t="s">
        <v>83</v>
      </c>
    </row>
    <row r="1132" customHeight="1" spans="51:52">
      <c r="AY1132" s="134">
        <v>33372</v>
      </c>
      <c r="AZ1132" s="124" t="s">
        <v>101</v>
      </c>
    </row>
    <row r="1133" customHeight="1" spans="51:52">
      <c r="AY1133" s="134">
        <v>33401</v>
      </c>
      <c r="AZ1133" s="124" t="s">
        <v>117</v>
      </c>
    </row>
    <row r="1134" customHeight="1" spans="51:52">
      <c r="AY1134" s="134">
        <v>33431</v>
      </c>
      <c r="AZ1134" s="124" t="s">
        <v>136</v>
      </c>
    </row>
    <row r="1135" customHeight="1" spans="51:52">
      <c r="AY1135" s="134">
        <v>33460</v>
      </c>
      <c r="AZ1135" s="124" t="s">
        <v>155</v>
      </c>
    </row>
    <row r="1136" customHeight="1" spans="51:52">
      <c r="AY1136" s="134">
        <v>33489</v>
      </c>
      <c r="AZ1136" s="124" t="s">
        <v>174</v>
      </c>
    </row>
    <row r="1137" customHeight="1" spans="51:52">
      <c r="AY1137" s="134">
        <v>33519</v>
      </c>
      <c r="AZ1137" s="124" t="s">
        <v>186</v>
      </c>
    </row>
    <row r="1138" customHeight="1" spans="51:52">
      <c r="AY1138" s="134">
        <v>33548</v>
      </c>
      <c r="AZ1138" s="124" t="s">
        <v>198</v>
      </c>
    </row>
    <row r="1139" customHeight="1" spans="51:52">
      <c r="AY1139" s="134">
        <v>33578</v>
      </c>
      <c r="AZ1139" s="124" t="s">
        <v>233</v>
      </c>
    </row>
    <row r="1140" customHeight="1" spans="51:52">
      <c r="AY1140" s="134">
        <v>33608</v>
      </c>
      <c r="AZ1140" s="124" t="s">
        <v>56</v>
      </c>
    </row>
    <row r="1141" customHeight="1" spans="51:52">
      <c r="AY1141" s="134">
        <v>33638</v>
      </c>
      <c r="AZ1141" s="124" t="s">
        <v>77</v>
      </c>
    </row>
    <row r="1142" customHeight="1" spans="51:52">
      <c r="AY1142" s="134">
        <v>33667</v>
      </c>
      <c r="AZ1142" s="124" t="s">
        <v>63</v>
      </c>
    </row>
    <row r="1143" customHeight="1" spans="51:52">
      <c r="AY1143" s="134">
        <v>33697</v>
      </c>
      <c r="AZ1143" s="124" t="s">
        <v>83</v>
      </c>
    </row>
    <row r="1144" customHeight="1" spans="51:52">
      <c r="AY1144" s="134">
        <v>33727</v>
      </c>
      <c r="AZ1144" s="124" t="s">
        <v>101</v>
      </c>
    </row>
    <row r="1145" customHeight="1" spans="51:52">
      <c r="AY1145" s="134">
        <v>33756</v>
      </c>
      <c r="AZ1145" s="124" t="s">
        <v>117</v>
      </c>
    </row>
    <row r="1146" customHeight="1" spans="51:52">
      <c r="AY1146" s="134">
        <v>33785</v>
      </c>
      <c r="AZ1146" s="124" t="s">
        <v>136</v>
      </c>
    </row>
    <row r="1147" customHeight="1" spans="51:52">
      <c r="AY1147" s="134">
        <v>33815</v>
      </c>
      <c r="AZ1147" s="124" t="s">
        <v>155</v>
      </c>
    </row>
    <row r="1148" customHeight="1" spans="51:52">
      <c r="AY1148" s="134">
        <v>33844</v>
      </c>
      <c r="AZ1148" s="124" t="s">
        <v>174</v>
      </c>
    </row>
    <row r="1149" customHeight="1" spans="51:52">
      <c r="AY1149" s="134">
        <v>33873</v>
      </c>
      <c r="AZ1149" s="124" t="s">
        <v>186</v>
      </c>
    </row>
    <row r="1150" customHeight="1" spans="51:52">
      <c r="AY1150" s="134">
        <v>33903</v>
      </c>
      <c r="AZ1150" s="124" t="s">
        <v>198</v>
      </c>
    </row>
    <row r="1151" customHeight="1" spans="51:52">
      <c r="AY1151" s="134">
        <v>33932</v>
      </c>
      <c r="AZ1151" s="124" t="s">
        <v>233</v>
      </c>
    </row>
    <row r="1152" customHeight="1" spans="51:52">
      <c r="AY1152" s="134">
        <v>33962</v>
      </c>
      <c r="AZ1152" s="124" t="s">
        <v>56</v>
      </c>
    </row>
    <row r="1153" customHeight="1" spans="51:52">
      <c r="AY1153" s="134">
        <v>33992</v>
      </c>
      <c r="AZ1153" s="124" t="s">
        <v>77</v>
      </c>
    </row>
    <row r="1154" customHeight="1" spans="51:52">
      <c r="AY1154" s="134">
        <v>34021</v>
      </c>
      <c r="AZ1154" s="124" t="s">
        <v>63</v>
      </c>
    </row>
    <row r="1155" customHeight="1" spans="51:52">
      <c r="AY1155" s="134">
        <v>34051</v>
      </c>
      <c r="AZ1155" s="124" t="s">
        <v>83</v>
      </c>
    </row>
    <row r="1156" customHeight="1" spans="51:52">
      <c r="AY1156" s="134">
        <v>34081</v>
      </c>
      <c r="AZ1156" s="124" t="s">
        <v>404</v>
      </c>
    </row>
    <row r="1157" customHeight="1" spans="51:52">
      <c r="AY1157" s="134">
        <v>34110</v>
      </c>
      <c r="AZ1157" s="124" t="s">
        <v>101</v>
      </c>
    </row>
    <row r="1158" customHeight="1" spans="51:52">
      <c r="AY1158" s="134">
        <v>34140</v>
      </c>
      <c r="AZ1158" s="124" t="s">
        <v>117</v>
      </c>
    </row>
    <row r="1159" customHeight="1" spans="51:52">
      <c r="AY1159" s="134">
        <v>34169</v>
      </c>
      <c r="AZ1159" s="124" t="s">
        <v>136</v>
      </c>
    </row>
    <row r="1160" customHeight="1" spans="51:52">
      <c r="AY1160" s="134">
        <v>34199</v>
      </c>
      <c r="AZ1160" s="124" t="s">
        <v>155</v>
      </c>
    </row>
    <row r="1161" customHeight="1" spans="51:52">
      <c r="AY1161" s="134">
        <v>34228</v>
      </c>
      <c r="AZ1161" s="124" t="s">
        <v>174</v>
      </c>
    </row>
    <row r="1162" customHeight="1" spans="51:52">
      <c r="AY1162" s="134">
        <v>34257</v>
      </c>
      <c r="AZ1162" s="124" t="s">
        <v>186</v>
      </c>
    </row>
    <row r="1163" customHeight="1" spans="51:52">
      <c r="AY1163" s="134">
        <v>34287</v>
      </c>
      <c r="AZ1163" s="124" t="s">
        <v>198</v>
      </c>
    </row>
    <row r="1164" customHeight="1" spans="51:52">
      <c r="AY1164" s="134">
        <v>34316</v>
      </c>
      <c r="AZ1164" s="124" t="s">
        <v>233</v>
      </c>
    </row>
    <row r="1165" customHeight="1" spans="51:52">
      <c r="AY1165" s="134">
        <v>34346</v>
      </c>
      <c r="AZ1165" s="124" t="s">
        <v>56</v>
      </c>
    </row>
    <row r="1166" customHeight="1" spans="51:52">
      <c r="AY1166" s="134">
        <v>34375</v>
      </c>
      <c r="AZ1166" s="124" t="s">
        <v>77</v>
      </c>
    </row>
    <row r="1167" customHeight="1" spans="51:52">
      <c r="AY1167" s="134">
        <v>34405</v>
      </c>
      <c r="AZ1167" s="124" t="s">
        <v>63</v>
      </c>
    </row>
    <row r="1168" customHeight="1" spans="51:52">
      <c r="AY1168" s="134">
        <v>34435</v>
      </c>
      <c r="AZ1168" s="124" t="s">
        <v>83</v>
      </c>
    </row>
    <row r="1169" customHeight="1" spans="51:52">
      <c r="AY1169" s="134">
        <v>34465</v>
      </c>
      <c r="AZ1169" s="124" t="s">
        <v>101</v>
      </c>
    </row>
    <row r="1170" customHeight="1" spans="51:52">
      <c r="AY1170" s="134">
        <v>34494</v>
      </c>
      <c r="AZ1170" s="124" t="s">
        <v>117</v>
      </c>
    </row>
    <row r="1171" customHeight="1" spans="51:52">
      <c r="AY1171" s="134">
        <v>34524</v>
      </c>
      <c r="AZ1171" s="124" t="s">
        <v>136</v>
      </c>
    </row>
    <row r="1172" customHeight="1" spans="51:52">
      <c r="AY1172" s="134">
        <v>34553</v>
      </c>
      <c r="AZ1172" s="124" t="s">
        <v>155</v>
      </c>
    </row>
    <row r="1173" customHeight="1" spans="51:52">
      <c r="AY1173" s="134">
        <v>34583</v>
      </c>
      <c r="AZ1173" s="124" t="s">
        <v>174</v>
      </c>
    </row>
    <row r="1174" customHeight="1" spans="51:52">
      <c r="AY1174" s="134">
        <v>34612</v>
      </c>
      <c r="AZ1174" s="124" t="s">
        <v>186</v>
      </c>
    </row>
    <row r="1175" customHeight="1" spans="51:52">
      <c r="AY1175" s="134">
        <v>34641</v>
      </c>
      <c r="AZ1175" s="124" t="s">
        <v>198</v>
      </c>
    </row>
    <row r="1176" customHeight="1" spans="51:52">
      <c r="AY1176" s="134">
        <v>34671</v>
      </c>
      <c r="AZ1176" s="124" t="s">
        <v>233</v>
      </c>
    </row>
    <row r="1177" customHeight="1" spans="51:52">
      <c r="AY1177" s="134">
        <v>34700</v>
      </c>
      <c r="AZ1177" s="124" t="s">
        <v>56</v>
      </c>
    </row>
    <row r="1178" customHeight="1" spans="51:52">
      <c r="AY1178" s="134">
        <v>34730</v>
      </c>
      <c r="AZ1178" s="124" t="s">
        <v>77</v>
      </c>
    </row>
    <row r="1179" customHeight="1" spans="51:52">
      <c r="AY1179" s="134">
        <v>34759</v>
      </c>
      <c r="AZ1179" s="124" t="s">
        <v>63</v>
      </c>
    </row>
    <row r="1180" customHeight="1" spans="51:52">
      <c r="AY1180" s="134">
        <v>34789</v>
      </c>
      <c r="AZ1180" s="124" t="s">
        <v>83</v>
      </c>
    </row>
    <row r="1181" customHeight="1" spans="51:52">
      <c r="AY1181" s="134">
        <v>34819</v>
      </c>
      <c r="AZ1181" s="124" t="s">
        <v>101</v>
      </c>
    </row>
    <row r="1182" customHeight="1" spans="51:52">
      <c r="AY1182" s="134">
        <v>34848</v>
      </c>
      <c r="AZ1182" s="124" t="s">
        <v>117</v>
      </c>
    </row>
    <row r="1183" customHeight="1" spans="51:52">
      <c r="AY1183" s="134">
        <v>34878</v>
      </c>
      <c r="AZ1183" s="124" t="s">
        <v>136</v>
      </c>
    </row>
    <row r="1184" customHeight="1" spans="51:52">
      <c r="AY1184" s="134">
        <v>34907</v>
      </c>
      <c r="AZ1184" s="124" t="s">
        <v>155</v>
      </c>
    </row>
    <row r="1185" customHeight="1" spans="51:52">
      <c r="AY1185" s="134">
        <v>34937</v>
      </c>
      <c r="AZ1185" s="124" t="s">
        <v>174</v>
      </c>
    </row>
    <row r="1186" customHeight="1" spans="51:52">
      <c r="AY1186" s="134">
        <v>34967</v>
      </c>
      <c r="AZ1186" s="124" t="s">
        <v>206</v>
      </c>
    </row>
    <row r="1187" customHeight="1" spans="51:52">
      <c r="AY1187" s="134">
        <v>34996</v>
      </c>
      <c r="AZ1187" s="124" t="s">
        <v>186</v>
      </c>
    </row>
    <row r="1188" customHeight="1" spans="51:52">
      <c r="AY1188" s="134">
        <v>35025</v>
      </c>
      <c r="AZ1188" s="124" t="s">
        <v>198</v>
      </c>
    </row>
    <row r="1189" customHeight="1" spans="51:52">
      <c r="AY1189" s="134">
        <v>35055</v>
      </c>
      <c r="AZ1189" s="124" t="s">
        <v>233</v>
      </c>
    </row>
    <row r="1190" customHeight="1" spans="51:52">
      <c r="AY1190" s="134">
        <v>35084</v>
      </c>
      <c r="AZ1190" s="124" t="s">
        <v>56</v>
      </c>
    </row>
    <row r="1191" customHeight="1" spans="51:52">
      <c r="AY1191" s="134">
        <v>35114</v>
      </c>
      <c r="AZ1191" s="124" t="s">
        <v>77</v>
      </c>
    </row>
    <row r="1192" customHeight="1" spans="51:52">
      <c r="AY1192" s="134">
        <v>35143</v>
      </c>
      <c r="AZ1192" s="124" t="s">
        <v>63</v>
      </c>
    </row>
    <row r="1193" customHeight="1" spans="51:52">
      <c r="AY1193" s="134">
        <v>35173</v>
      </c>
      <c r="AZ1193" s="124" t="s">
        <v>83</v>
      </c>
    </row>
    <row r="1194" customHeight="1" spans="51:52">
      <c r="AY1194" s="134">
        <v>35202</v>
      </c>
      <c r="AZ1194" s="124" t="s">
        <v>101</v>
      </c>
    </row>
    <row r="1195" customHeight="1" spans="51:52">
      <c r="AY1195" s="134">
        <v>35232</v>
      </c>
      <c r="AZ1195" s="124" t="s">
        <v>117</v>
      </c>
    </row>
    <row r="1196" customHeight="1" spans="51:52">
      <c r="AY1196" s="134">
        <v>35262</v>
      </c>
      <c r="AZ1196" s="124" t="s">
        <v>136</v>
      </c>
    </row>
    <row r="1197" customHeight="1" spans="51:52">
      <c r="AY1197" s="134">
        <v>35291</v>
      </c>
      <c r="AZ1197" s="124" t="s">
        <v>155</v>
      </c>
    </row>
    <row r="1198" customHeight="1" spans="51:52">
      <c r="AY1198" s="134">
        <v>35321</v>
      </c>
      <c r="AZ1198" s="124" t="s">
        <v>174</v>
      </c>
    </row>
    <row r="1199" customHeight="1" spans="51:52">
      <c r="AY1199" s="134">
        <v>35350</v>
      </c>
      <c r="AZ1199" s="124" t="s">
        <v>186</v>
      </c>
    </row>
    <row r="1200" customHeight="1" spans="51:52">
      <c r="AY1200" s="134">
        <v>35380</v>
      </c>
      <c r="AZ1200" s="124" t="s">
        <v>198</v>
      </c>
    </row>
    <row r="1201" customHeight="1" spans="51:52">
      <c r="AY1201" s="134">
        <v>35410</v>
      </c>
      <c r="AZ1201" s="124" t="s">
        <v>233</v>
      </c>
    </row>
    <row r="1202" customHeight="1" spans="51:52">
      <c r="AY1202" s="134">
        <v>35439</v>
      </c>
      <c r="AZ1202" s="124" t="s">
        <v>56</v>
      </c>
    </row>
    <row r="1203" customHeight="1" spans="51:52">
      <c r="AY1203" s="134">
        <v>35468</v>
      </c>
      <c r="AZ1203" s="124" t="s">
        <v>77</v>
      </c>
    </row>
    <row r="1204" customHeight="1" spans="51:52">
      <c r="AY1204" s="134">
        <v>35498</v>
      </c>
      <c r="AZ1204" s="124" t="s">
        <v>63</v>
      </c>
    </row>
    <row r="1205" customHeight="1" spans="51:52">
      <c r="AY1205" s="134">
        <v>35527</v>
      </c>
      <c r="AZ1205" s="124" t="s">
        <v>83</v>
      </c>
    </row>
    <row r="1206" customHeight="1" spans="51:52">
      <c r="AY1206" s="134">
        <v>35557</v>
      </c>
      <c r="AZ1206" s="124" t="s">
        <v>101</v>
      </c>
    </row>
    <row r="1207" customHeight="1" spans="51:52">
      <c r="AY1207" s="134">
        <v>35586</v>
      </c>
      <c r="AZ1207" s="124" t="s">
        <v>117</v>
      </c>
    </row>
    <row r="1208" customHeight="1" spans="51:52">
      <c r="AY1208" s="134">
        <v>35616</v>
      </c>
      <c r="AZ1208" s="124" t="s">
        <v>136</v>
      </c>
    </row>
    <row r="1209" customHeight="1" spans="51:52">
      <c r="AY1209" s="134">
        <v>35645</v>
      </c>
      <c r="AZ1209" s="124" t="s">
        <v>155</v>
      </c>
    </row>
    <row r="1210" customHeight="1" spans="51:52">
      <c r="AY1210" s="134">
        <v>35675</v>
      </c>
      <c r="AZ1210" s="124" t="s">
        <v>174</v>
      </c>
    </row>
    <row r="1211" customHeight="1" spans="51:52">
      <c r="AY1211" s="134">
        <v>35705</v>
      </c>
      <c r="AZ1211" s="124" t="s">
        <v>186</v>
      </c>
    </row>
    <row r="1212" customHeight="1" spans="51:52">
      <c r="AY1212" s="134">
        <v>35734</v>
      </c>
      <c r="AZ1212" s="124" t="s">
        <v>198</v>
      </c>
    </row>
    <row r="1213" customHeight="1" spans="51:52">
      <c r="AY1213" s="134">
        <v>35764</v>
      </c>
      <c r="AZ1213" s="124" t="s">
        <v>233</v>
      </c>
    </row>
    <row r="1214" customHeight="1" spans="51:52">
      <c r="AY1214" s="134">
        <v>35794</v>
      </c>
      <c r="AZ1214" s="124" t="s">
        <v>56</v>
      </c>
    </row>
    <row r="1215" customHeight="1" spans="51:52">
      <c r="AY1215" s="134">
        <v>35823</v>
      </c>
      <c r="AZ1215" s="124" t="s">
        <v>77</v>
      </c>
    </row>
    <row r="1216" customHeight="1" spans="51:52">
      <c r="AY1216" s="134">
        <v>35853</v>
      </c>
      <c r="AZ1216" s="124" t="s">
        <v>63</v>
      </c>
    </row>
    <row r="1217" customHeight="1" spans="51:52">
      <c r="AY1217" s="134">
        <v>35882</v>
      </c>
      <c r="AZ1217" s="124" t="s">
        <v>83</v>
      </c>
    </row>
    <row r="1218" customHeight="1" spans="51:52">
      <c r="AY1218" s="134">
        <v>35911</v>
      </c>
      <c r="AZ1218" s="124" t="s">
        <v>101</v>
      </c>
    </row>
    <row r="1219" customHeight="1" spans="51:52">
      <c r="AY1219" s="134">
        <v>35941</v>
      </c>
      <c r="AZ1219" s="124" t="s">
        <v>117</v>
      </c>
    </row>
    <row r="1220" customHeight="1" spans="51:52">
      <c r="AY1220" s="134">
        <v>35970</v>
      </c>
      <c r="AZ1220" s="124" t="s">
        <v>323</v>
      </c>
    </row>
    <row r="1221" customHeight="1" spans="51:52">
      <c r="AY1221" s="134">
        <v>35999</v>
      </c>
      <c r="AZ1221" s="124" t="s">
        <v>136</v>
      </c>
    </row>
    <row r="1222" customHeight="1" spans="51:52">
      <c r="AY1222" s="134">
        <v>36029</v>
      </c>
      <c r="AZ1222" s="124" t="s">
        <v>155</v>
      </c>
    </row>
    <row r="1223" customHeight="1" spans="51:52">
      <c r="AY1223" s="134">
        <v>36059</v>
      </c>
      <c r="AZ1223" s="124" t="s">
        <v>174</v>
      </c>
    </row>
    <row r="1224" customHeight="1" spans="51:52">
      <c r="AY1224" s="134">
        <v>36088</v>
      </c>
      <c r="AZ1224" s="124" t="s">
        <v>186</v>
      </c>
    </row>
    <row r="1225" customHeight="1" spans="51:52">
      <c r="AY1225" s="134">
        <v>36118</v>
      </c>
      <c r="AZ1225" s="124" t="s">
        <v>198</v>
      </c>
    </row>
    <row r="1226" customHeight="1" spans="51:52">
      <c r="AY1226" s="134">
        <v>36148</v>
      </c>
      <c r="AZ1226" s="124" t="s">
        <v>233</v>
      </c>
    </row>
    <row r="1227" customHeight="1" spans="51:52">
      <c r="AY1227" s="134">
        <v>36177</v>
      </c>
      <c r="AZ1227" s="124" t="s">
        <v>56</v>
      </c>
    </row>
    <row r="1228" customHeight="1" spans="51:52">
      <c r="AY1228" s="134">
        <v>36207</v>
      </c>
      <c r="AZ1228" s="124" t="s">
        <v>77</v>
      </c>
    </row>
    <row r="1229" customHeight="1" spans="51:52">
      <c r="AY1229" s="134">
        <v>36237</v>
      </c>
      <c r="AZ1229" s="124" t="s">
        <v>63</v>
      </c>
    </row>
    <row r="1230" customHeight="1" spans="51:52">
      <c r="AY1230" s="134">
        <v>36266</v>
      </c>
      <c r="AZ1230" s="124" t="s">
        <v>83</v>
      </c>
    </row>
    <row r="1231" customHeight="1" spans="51:52">
      <c r="AY1231" s="134">
        <v>36295</v>
      </c>
      <c r="AZ1231" s="124" t="s">
        <v>101</v>
      </c>
    </row>
    <row r="1232" customHeight="1" spans="51:52">
      <c r="AY1232" s="134">
        <v>36325</v>
      </c>
      <c r="AZ1232" s="124" t="s">
        <v>117</v>
      </c>
    </row>
    <row r="1233" customHeight="1" spans="51:52">
      <c r="AY1233" s="134">
        <v>36354</v>
      </c>
      <c r="AZ1233" s="124" t="s">
        <v>136</v>
      </c>
    </row>
    <row r="1234" customHeight="1" spans="51:52">
      <c r="AY1234" s="134">
        <v>36383</v>
      </c>
      <c r="AZ1234" s="124" t="s">
        <v>155</v>
      </c>
    </row>
    <row r="1235" customHeight="1" spans="51:52">
      <c r="AY1235" s="134">
        <v>36413</v>
      </c>
      <c r="AZ1235" s="124" t="s">
        <v>174</v>
      </c>
    </row>
    <row r="1236" customHeight="1" spans="51:52">
      <c r="AY1236" s="134">
        <v>36442</v>
      </c>
      <c r="AZ1236" s="124" t="s">
        <v>186</v>
      </c>
    </row>
    <row r="1237" customHeight="1" spans="51:52">
      <c r="AY1237" s="134">
        <v>36472</v>
      </c>
      <c r="AZ1237" s="124" t="s">
        <v>198</v>
      </c>
    </row>
    <row r="1238" customHeight="1" spans="51:52">
      <c r="AY1238" s="134">
        <v>36502</v>
      </c>
      <c r="AZ1238" s="124" t="s">
        <v>233</v>
      </c>
    </row>
    <row r="1239" customHeight="1" spans="51:52">
      <c r="AY1239" s="134">
        <v>36532</v>
      </c>
      <c r="AZ1239" s="124" t="s">
        <v>56</v>
      </c>
    </row>
    <row r="1240" customHeight="1" spans="51:52">
      <c r="AY1240" s="134">
        <v>36561</v>
      </c>
      <c r="AZ1240" s="124" t="s">
        <v>77</v>
      </c>
    </row>
    <row r="1241" customHeight="1" spans="51:52">
      <c r="AY1241" s="134">
        <v>36591</v>
      </c>
      <c r="AZ1241" s="124" t="s">
        <v>63</v>
      </c>
    </row>
    <row r="1242" customHeight="1" spans="51:52">
      <c r="AY1242" s="134">
        <v>36621</v>
      </c>
      <c r="AZ1242" s="124" t="s">
        <v>83</v>
      </c>
    </row>
    <row r="1243" customHeight="1" spans="51:52">
      <c r="AY1243" s="134">
        <v>36650</v>
      </c>
      <c r="AZ1243" s="124" t="s">
        <v>101</v>
      </c>
    </row>
    <row r="1244" customHeight="1" spans="51:52">
      <c r="AY1244" s="134">
        <v>36679</v>
      </c>
      <c r="AZ1244" s="124" t="s">
        <v>117</v>
      </c>
    </row>
    <row r="1245" customHeight="1" spans="51:52">
      <c r="AY1245" s="134">
        <v>36709</v>
      </c>
      <c r="AZ1245" s="124" t="s">
        <v>136</v>
      </c>
    </row>
    <row r="1246" customHeight="1" spans="51:52">
      <c r="AY1246" s="134">
        <v>36738</v>
      </c>
      <c r="AZ1246" s="124" t="s">
        <v>155</v>
      </c>
    </row>
    <row r="1247" customHeight="1" spans="51:52">
      <c r="AY1247" s="134">
        <v>36767</v>
      </c>
      <c r="AZ1247" s="124" t="s">
        <v>174</v>
      </c>
    </row>
    <row r="1248" customHeight="1" spans="51:52">
      <c r="AY1248" s="134">
        <v>36797</v>
      </c>
      <c r="AZ1248" s="124" t="s">
        <v>186</v>
      </c>
    </row>
    <row r="1249" customHeight="1" spans="51:52">
      <c r="AY1249" s="134">
        <v>36826</v>
      </c>
      <c r="AZ1249" s="124" t="s">
        <v>198</v>
      </c>
    </row>
    <row r="1250" customHeight="1" spans="51:52">
      <c r="AY1250" s="134">
        <v>36856</v>
      </c>
      <c r="AZ1250" s="124" t="s">
        <v>233</v>
      </c>
    </row>
    <row r="1251" customHeight="1" spans="51:52">
      <c r="AY1251" s="134">
        <v>36886</v>
      </c>
      <c r="AZ1251" s="124" t="s">
        <v>56</v>
      </c>
    </row>
    <row r="1252" customHeight="1" spans="51:52">
      <c r="AY1252" s="134">
        <v>36915</v>
      </c>
      <c r="AZ1252" s="124" t="s">
        <v>77</v>
      </c>
    </row>
    <row r="1253" customHeight="1" spans="51:52">
      <c r="AY1253" s="134">
        <v>36945</v>
      </c>
      <c r="AZ1253" s="124" t="s">
        <v>63</v>
      </c>
    </row>
    <row r="1254" customHeight="1" spans="51:52">
      <c r="AY1254" s="134">
        <v>36975</v>
      </c>
      <c r="AZ1254" s="124" t="s">
        <v>83</v>
      </c>
    </row>
    <row r="1255" customHeight="1" spans="51:52">
      <c r="AY1255" s="134">
        <v>37004</v>
      </c>
      <c r="AZ1255" s="124" t="s">
        <v>101</v>
      </c>
    </row>
    <row r="1256" customHeight="1" spans="51:52">
      <c r="AY1256" s="134">
        <v>37034</v>
      </c>
      <c r="AZ1256" s="124" t="s">
        <v>384</v>
      </c>
    </row>
    <row r="1257" customHeight="1" spans="51:52">
      <c r="AY1257" s="134">
        <v>37063</v>
      </c>
      <c r="AZ1257" s="124" t="s">
        <v>117</v>
      </c>
    </row>
    <row r="1258" customHeight="1" spans="51:52">
      <c r="AY1258" s="134">
        <v>37093</v>
      </c>
      <c r="AZ1258" s="124" t="s">
        <v>136</v>
      </c>
    </row>
    <row r="1259" customHeight="1" spans="51:52">
      <c r="AY1259" s="134">
        <v>37122</v>
      </c>
      <c r="AZ1259" s="124" t="s">
        <v>155</v>
      </c>
    </row>
    <row r="1260" customHeight="1" spans="51:52">
      <c r="AY1260" s="134">
        <v>37151</v>
      </c>
      <c r="AZ1260" s="124" t="s">
        <v>174</v>
      </c>
    </row>
    <row r="1261" customHeight="1" spans="51:52">
      <c r="AY1261" s="134">
        <v>37181</v>
      </c>
      <c r="AZ1261" s="124" t="s">
        <v>186</v>
      </c>
    </row>
    <row r="1262" customHeight="1" spans="51:52">
      <c r="AY1262" s="134">
        <v>37210</v>
      </c>
      <c r="AZ1262" s="124" t="s">
        <v>198</v>
      </c>
    </row>
    <row r="1263" customHeight="1" spans="51:52">
      <c r="AY1263" s="134">
        <v>37240</v>
      </c>
      <c r="AZ1263" s="124" t="s">
        <v>233</v>
      </c>
    </row>
    <row r="1264" customHeight="1" spans="51:52">
      <c r="AY1264" s="134">
        <v>37269</v>
      </c>
      <c r="AZ1264" s="124" t="s">
        <v>56</v>
      </c>
    </row>
    <row r="1265" customHeight="1" spans="51:52">
      <c r="AY1265" s="134">
        <v>37299</v>
      </c>
      <c r="AZ1265" s="124" t="s">
        <v>77</v>
      </c>
    </row>
    <row r="1266" customHeight="1" spans="51:52">
      <c r="AY1266" s="134">
        <v>37329</v>
      </c>
      <c r="AZ1266" s="124" t="s">
        <v>63</v>
      </c>
    </row>
    <row r="1267" customHeight="1" spans="51:52">
      <c r="AY1267" s="134">
        <v>37359</v>
      </c>
      <c r="AZ1267" s="124" t="s">
        <v>83</v>
      </c>
    </row>
    <row r="1268" customHeight="1" spans="51:52">
      <c r="AY1268" s="134">
        <v>37388</v>
      </c>
      <c r="AZ1268" s="124" t="s">
        <v>101</v>
      </c>
    </row>
    <row r="1269" customHeight="1" spans="51:52">
      <c r="AY1269" s="134">
        <v>37418</v>
      </c>
      <c r="AZ1269" s="124" t="s">
        <v>117</v>
      </c>
    </row>
    <row r="1270" customHeight="1" spans="51:52">
      <c r="AY1270" s="134">
        <v>37447</v>
      </c>
      <c r="AZ1270" s="124" t="s">
        <v>136</v>
      </c>
    </row>
    <row r="1271" customHeight="1" spans="51:52">
      <c r="AY1271" s="134">
        <v>37477</v>
      </c>
      <c r="AZ1271" s="124" t="s">
        <v>155</v>
      </c>
    </row>
    <row r="1272" customHeight="1" spans="51:52">
      <c r="AY1272" s="134">
        <v>37506</v>
      </c>
      <c r="AZ1272" s="124" t="s">
        <v>174</v>
      </c>
    </row>
    <row r="1273" customHeight="1" spans="51:52">
      <c r="AY1273" s="134">
        <v>37535</v>
      </c>
      <c r="AZ1273" s="124" t="s">
        <v>186</v>
      </c>
    </row>
    <row r="1274" customHeight="1" spans="51:52">
      <c r="AY1274" s="134">
        <v>37565</v>
      </c>
      <c r="AZ1274" s="124" t="s">
        <v>198</v>
      </c>
    </row>
    <row r="1275" customHeight="1" spans="51:52">
      <c r="AY1275" s="134">
        <v>37594</v>
      </c>
      <c r="AZ1275" s="124" t="s">
        <v>233</v>
      </c>
    </row>
    <row r="1276" customHeight="1" spans="51:52">
      <c r="AY1276" s="134">
        <v>37624</v>
      </c>
      <c r="AZ1276" s="124" t="s">
        <v>56</v>
      </c>
    </row>
    <row r="1277" customHeight="1" spans="51:52">
      <c r="AY1277" s="134">
        <v>37653</v>
      </c>
      <c r="AZ1277" s="124" t="s">
        <v>77</v>
      </c>
    </row>
    <row r="1278" customHeight="1" spans="51:52">
      <c r="AY1278" s="134">
        <v>37683</v>
      </c>
      <c r="AZ1278" s="124" t="s">
        <v>63</v>
      </c>
    </row>
    <row r="1279" customHeight="1" spans="51:52">
      <c r="AY1279" s="134">
        <v>37713</v>
      </c>
      <c r="AZ1279" s="124" t="s">
        <v>83</v>
      </c>
    </row>
    <row r="1280" customHeight="1" spans="51:52">
      <c r="AY1280" s="134">
        <v>37742</v>
      </c>
      <c r="AZ1280" s="124" t="s">
        <v>101</v>
      </c>
    </row>
    <row r="1281" customHeight="1" spans="51:52">
      <c r="AY1281" s="134">
        <v>37772</v>
      </c>
      <c r="AZ1281" s="124" t="s">
        <v>117</v>
      </c>
    </row>
    <row r="1282" customHeight="1" spans="51:52">
      <c r="AY1282" s="134">
        <v>37802</v>
      </c>
      <c r="AZ1282" s="124" t="s">
        <v>136</v>
      </c>
    </row>
    <row r="1283" customHeight="1" spans="51:52">
      <c r="AY1283" s="134">
        <v>37831</v>
      </c>
      <c r="AZ1283" s="124" t="s">
        <v>155</v>
      </c>
    </row>
    <row r="1284" customHeight="1" spans="51:52">
      <c r="AY1284" s="134">
        <v>37861</v>
      </c>
      <c r="AZ1284" s="124" t="s">
        <v>174</v>
      </c>
    </row>
    <row r="1285" customHeight="1" spans="51:52">
      <c r="AY1285" s="134">
        <v>37890</v>
      </c>
      <c r="AZ1285" s="124" t="s">
        <v>186</v>
      </c>
    </row>
    <row r="1286" customHeight="1" spans="51:52">
      <c r="AY1286" s="134">
        <v>37919</v>
      </c>
      <c r="AZ1286" s="124" t="s">
        <v>198</v>
      </c>
    </row>
    <row r="1287" customHeight="1" spans="51:52">
      <c r="AY1287" s="134">
        <v>37949</v>
      </c>
      <c r="AZ1287" s="124" t="s">
        <v>233</v>
      </c>
    </row>
    <row r="1288" customHeight="1" spans="51:52">
      <c r="AY1288" s="134">
        <v>37978</v>
      </c>
      <c r="AZ1288" s="124" t="s">
        <v>56</v>
      </c>
    </row>
    <row r="1289" customHeight="1" spans="51:52">
      <c r="AY1289" s="134">
        <v>38008</v>
      </c>
      <c r="AZ1289" s="124" t="s">
        <v>77</v>
      </c>
    </row>
    <row r="1290" customHeight="1" spans="51:52">
      <c r="AY1290" s="134">
        <v>38037</v>
      </c>
      <c r="AZ1290" s="124" t="s">
        <v>63</v>
      </c>
    </row>
    <row r="1291" customHeight="1" spans="51:52">
      <c r="AY1291" s="134">
        <v>38067</v>
      </c>
      <c r="AZ1291" s="124" t="s">
        <v>391</v>
      </c>
    </row>
    <row r="1292" customHeight="1" spans="51:52">
      <c r="AY1292" s="134">
        <v>38096</v>
      </c>
      <c r="AZ1292" s="124" t="s">
        <v>83</v>
      </c>
    </row>
    <row r="1293" customHeight="1" spans="51:52">
      <c r="AY1293" s="134">
        <v>38126</v>
      </c>
      <c r="AZ1293" s="124" t="s">
        <v>101</v>
      </c>
    </row>
    <row r="1294" customHeight="1" spans="51:52">
      <c r="AY1294" s="134">
        <v>38156</v>
      </c>
      <c r="AZ1294" s="124" t="s">
        <v>117</v>
      </c>
    </row>
    <row r="1295" customHeight="1" spans="51:52">
      <c r="AY1295" s="134">
        <v>38185</v>
      </c>
      <c r="AZ1295" s="124" t="s">
        <v>136</v>
      </c>
    </row>
    <row r="1296" customHeight="1" spans="51:52">
      <c r="AY1296" s="134">
        <v>38215</v>
      </c>
      <c r="AZ1296" s="124" t="s">
        <v>155</v>
      </c>
    </row>
    <row r="1297" customHeight="1" spans="51:52">
      <c r="AY1297" s="134">
        <v>38244</v>
      </c>
      <c r="AZ1297" s="124" t="s">
        <v>174</v>
      </c>
    </row>
    <row r="1298" customHeight="1" spans="51:52">
      <c r="AY1298" s="134">
        <v>38274</v>
      </c>
      <c r="AZ1298" s="124" t="s">
        <v>186</v>
      </c>
    </row>
    <row r="1299" customHeight="1" spans="51:52">
      <c r="AY1299" s="134">
        <v>38303</v>
      </c>
      <c r="AZ1299" s="124" t="s">
        <v>198</v>
      </c>
    </row>
    <row r="1300" customHeight="1" spans="51:52">
      <c r="AY1300" s="134">
        <v>38333</v>
      </c>
      <c r="AZ1300" s="124" t="s">
        <v>233</v>
      </c>
    </row>
    <row r="1301" customHeight="1" spans="51:52">
      <c r="AY1301" s="134">
        <v>38362</v>
      </c>
      <c r="AZ1301" s="124" t="s">
        <v>56</v>
      </c>
    </row>
    <row r="1302" customHeight="1" spans="51:52">
      <c r="AY1302" s="134">
        <v>38392</v>
      </c>
      <c r="AZ1302" s="124" t="s">
        <v>77</v>
      </c>
    </row>
    <row r="1303" customHeight="1" spans="51:52">
      <c r="AY1303" s="134">
        <v>38421</v>
      </c>
      <c r="AZ1303" s="124" t="s">
        <v>63</v>
      </c>
    </row>
    <row r="1304" customHeight="1" spans="51:52">
      <c r="AY1304" s="134">
        <v>38451</v>
      </c>
      <c r="AZ1304" s="124" t="s">
        <v>83</v>
      </c>
    </row>
    <row r="1305" customHeight="1" spans="51:52">
      <c r="AY1305" s="134">
        <v>38480</v>
      </c>
      <c r="AZ1305" s="124" t="s">
        <v>101</v>
      </c>
    </row>
    <row r="1306" customHeight="1" spans="51:52">
      <c r="AY1306" s="134">
        <v>38510</v>
      </c>
      <c r="AZ1306" s="124" t="s">
        <v>117</v>
      </c>
    </row>
    <row r="1307" customHeight="1" spans="51:52">
      <c r="AY1307" s="134">
        <v>38539</v>
      </c>
      <c r="AZ1307" s="124" t="s">
        <v>136</v>
      </c>
    </row>
    <row r="1308" customHeight="1" spans="51:52">
      <c r="AY1308" s="134">
        <v>38569</v>
      </c>
      <c r="AZ1308" s="124" t="s">
        <v>155</v>
      </c>
    </row>
    <row r="1309" customHeight="1" spans="51:52">
      <c r="AY1309" s="134">
        <v>38599</v>
      </c>
      <c r="AZ1309" s="124" t="s">
        <v>174</v>
      </c>
    </row>
    <row r="1310" customHeight="1" spans="51:52">
      <c r="AY1310" s="134">
        <v>38628</v>
      </c>
      <c r="AZ1310" s="124" t="s">
        <v>186</v>
      </c>
    </row>
    <row r="1311" customHeight="1" spans="51:52">
      <c r="AY1311" s="134">
        <v>38658</v>
      </c>
      <c r="AZ1311" s="124" t="s">
        <v>198</v>
      </c>
    </row>
    <row r="1312" customHeight="1" spans="51:52">
      <c r="AY1312" s="134">
        <v>38687</v>
      </c>
      <c r="AZ1312" s="124" t="s">
        <v>233</v>
      </c>
    </row>
    <row r="1313" customHeight="1" spans="51:52">
      <c r="AY1313" s="134">
        <v>38717</v>
      </c>
      <c r="AZ1313" s="124" t="s">
        <v>56</v>
      </c>
    </row>
    <row r="1314" customHeight="1" spans="51:52">
      <c r="AY1314" s="134">
        <v>38746</v>
      </c>
      <c r="AZ1314" s="124" t="s">
        <v>77</v>
      </c>
    </row>
    <row r="1315" customHeight="1" spans="51:52">
      <c r="AY1315" s="134">
        <v>38776</v>
      </c>
      <c r="AZ1315" s="124" t="s">
        <v>63</v>
      </c>
    </row>
    <row r="1316" customHeight="1" spans="51:52">
      <c r="AY1316" s="134">
        <v>38805</v>
      </c>
      <c r="AZ1316" s="124" t="s">
        <v>83</v>
      </c>
    </row>
    <row r="1317" customHeight="1" spans="51:52">
      <c r="AY1317" s="134">
        <v>38835</v>
      </c>
      <c r="AZ1317" s="124" t="s">
        <v>101</v>
      </c>
    </row>
    <row r="1318" customHeight="1" spans="51:52">
      <c r="AY1318" s="134">
        <v>38864</v>
      </c>
      <c r="AZ1318" s="124" t="s">
        <v>117</v>
      </c>
    </row>
    <row r="1319" customHeight="1" spans="51:52">
      <c r="AY1319" s="134">
        <v>38894</v>
      </c>
      <c r="AZ1319" s="124" t="s">
        <v>136</v>
      </c>
    </row>
    <row r="1320" customHeight="1" spans="51:52">
      <c r="AY1320" s="134">
        <v>38923</v>
      </c>
      <c r="AZ1320" s="124" t="s">
        <v>155</v>
      </c>
    </row>
    <row r="1321" customHeight="1" spans="51:52">
      <c r="AY1321" s="134">
        <v>38953</v>
      </c>
      <c r="AZ1321" s="124" t="s">
        <v>403</v>
      </c>
    </row>
    <row r="1322" customHeight="1" spans="51:52">
      <c r="AY1322" s="134">
        <v>38982</v>
      </c>
      <c r="AZ1322" s="124" t="s">
        <v>174</v>
      </c>
    </row>
    <row r="1323" customHeight="1" spans="51:52">
      <c r="AY1323" s="134">
        <v>39012</v>
      </c>
      <c r="AZ1323" s="124" t="s">
        <v>186</v>
      </c>
    </row>
    <row r="1324" customHeight="1" spans="51:52">
      <c r="AY1324" s="134">
        <v>39042</v>
      </c>
      <c r="AZ1324" s="124" t="s">
        <v>198</v>
      </c>
    </row>
    <row r="1325" customHeight="1" spans="51:52">
      <c r="AY1325" s="134">
        <v>39071</v>
      </c>
      <c r="AZ1325" s="124" t="s">
        <v>233</v>
      </c>
    </row>
    <row r="1326" customHeight="1" spans="51:52">
      <c r="AY1326" s="134">
        <v>39101</v>
      </c>
      <c r="AZ1326" s="124" t="s">
        <v>56</v>
      </c>
    </row>
    <row r="1327" customHeight="1" spans="51:52">
      <c r="AY1327" s="134">
        <v>39131</v>
      </c>
      <c r="AZ1327" s="124" t="s">
        <v>77</v>
      </c>
    </row>
    <row r="1328" customHeight="1" spans="51:52">
      <c r="AY1328" s="134">
        <v>39160</v>
      </c>
      <c r="AZ1328" s="124" t="s">
        <v>63</v>
      </c>
    </row>
    <row r="1329" customHeight="1" spans="51:52">
      <c r="AY1329" s="134">
        <v>39189</v>
      </c>
      <c r="AZ1329" s="124" t="s">
        <v>83</v>
      </c>
    </row>
    <row r="1330" customHeight="1" spans="51:52">
      <c r="AY1330" s="134">
        <v>39219</v>
      </c>
      <c r="AZ1330" s="124" t="s">
        <v>101</v>
      </c>
    </row>
    <row r="1331" customHeight="1" spans="51:52">
      <c r="AY1331" s="134">
        <v>39248</v>
      </c>
      <c r="AZ1331" s="124" t="s">
        <v>117</v>
      </c>
    </row>
    <row r="1332" customHeight="1" spans="51:52">
      <c r="AY1332" s="134">
        <v>39277</v>
      </c>
      <c r="AZ1332" s="124" t="s">
        <v>136</v>
      </c>
    </row>
    <row r="1333" customHeight="1" spans="51:52">
      <c r="AY1333" s="134">
        <v>39307</v>
      </c>
      <c r="AZ1333" s="124" t="s">
        <v>155</v>
      </c>
    </row>
    <row r="1334" customHeight="1" spans="51:52">
      <c r="AY1334" s="134">
        <v>39336</v>
      </c>
      <c r="AZ1334" s="124" t="s">
        <v>174</v>
      </c>
    </row>
    <row r="1335" customHeight="1" spans="51:52">
      <c r="AY1335" s="134">
        <v>39366</v>
      </c>
      <c r="AZ1335" s="124" t="s">
        <v>186</v>
      </c>
    </row>
    <row r="1336" customHeight="1" spans="51:52">
      <c r="AY1336" s="134">
        <v>39396</v>
      </c>
      <c r="AZ1336" s="124" t="s">
        <v>198</v>
      </c>
    </row>
    <row r="1337" customHeight="1" spans="51:52">
      <c r="AY1337" s="134">
        <v>39426</v>
      </c>
      <c r="AZ1337" s="124" t="s">
        <v>233</v>
      </c>
    </row>
    <row r="1338" customHeight="1" spans="51:52">
      <c r="AY1338" s="134">
        <v>39455</v>
      </c>
      <c r="AZ1338" s="124" t="s">
        <v>56</v>
      </c>
    </row>
    <row r="1339" customHeight="1" spans="51:52">
      <c r="AY1339" s="134">
        <v>39485</v>
      </c>
      <c r="AZ1339" s="124" t="s">
        <v>77</v>
      </c>
    </row>
    <row r="1340" customHeight="1" spans="51:52">
      <c r="AY1340" s="134">
        <v>39515</v>
      </c>
      <c r="AZ1340" s="124" t="s">
        <v>63</v>
      </c>
    </row>
    <row r="1341" customHeight="1" spans="51:52">
      <c r="AY1341" s="134">
        <v>39544</v>
      </c>
      <c r="AZ1341" s="124" t="s">
        <v>83</v>
      </c>
    </row>
    <row r="1342" customHeight="1" spans="51:52">
      <c r="AY1342" s="134">
        <v>39573</v>
      </c>
      <c r="AZ1342" s="124" t="s">
        <v>101</v>
      </c>
    </row>
    <row r="1343" customHeight="1" spans="51:52">
      <c r="AY1343" s="134">
        <v>39603</v>
      </c>
      <c r="AZ1343" s="124" t="s">
        <v>117</v>
      </c>
    </row>
    <row r="1344" customHeight="1" spans="51:52">
      <c r="AY1344" s="134">
        <v>39632</v>
      </c>
      <c r="AZ1344" s="124" t="s">
        <v>136</v>
      </c>
    </row>
    <row r="1345" customHeight="1" spans="51:52">
      <c r="AY1345" s="134">
        <v>39661</v>
      </c>
      <c r="AZ1345" s="124" t="s">
        <v>155</v>
      </c>
    </row>
    <row r="1346" customHeight="1" spans="51:52">
      <c r="AY1346" s="134">
        <v>39691</v>
      </c>
      <c r="AZ1346" s="124" t="s">
        <v>174</v>
      </c>
    </row>
    <row r="1347" customHeight="1" spans="51:52">
      <c r="AY1347" s="134">
        <v>39720</v>
      </c>
      <c r="AZ1347" s="124" t="s">
        <v>186</v>
      </c>
    </row>
    <row r="1348" customHeight="1" spans="51:52">
      <c r="AY1348" s="134">
        <v>39750</v>
      </c>
      <c r="AZ1348" s="124" t="s">
        <v>198</v>
      </c>
    </row>
    <row r="1349" customHeight="1" spans="51:52">
      <c r="AY1349" s="134">
        <v>39780</v>
      </c>
      <c r="AZ1349" s="124" t="s">
        <v>233</v>
      </c>
    </row>
    <row r="1350" customHeight="1" spans="51:52">
      <c r="AY1350" s="134">
        <v>39809</v>
      </c>
      <c r="AZ1350" s="124" t="s">
        <v>56</v>
      </c>
    </row>
    <row r="1351" customHeight="1" spans="51:52">
      <c r="AY1351" s="134">
        <v>39839</v>
      </c>
      <c r="AZ1351" s="124" t="s">
        <v>77</v>
      </c>
    </row>
    <row r="1352" customHeight="1" spans="51:52">
      <c r="AY1352" s="134">
        <v>39869</v>
      </c>
      <c r="AZ1352" s="124" t="s">
        <v>63</v>
      </c>
    </row>
    <row r="1353" customHeight="1" spans="51:52">
      <c r="AY1353" s="134">
        <v>39899</v>
      </c>
      <c r="AZ1353" s="124" t="s">
        <v>83</v>
      </c>
    </row>
    <row r="1354" customHeight="1" spans="51:52">
      <c r="AY1354" s="134">
        <v>39928</v>
      </c>
      <c r="AZ1354" s="124" t="s">
        <v>101</v>
      </c>
    </row>
    <row r="1355" customHeight="1" spans="51:52">
      <c r="AY1355" s="134">
        <v>39957</v>
      </c>
      <c r="AZ1355" s="124" t="s">
        <v>117</v>
      </c>
    </row>
    <row r="1356" customHeight="1" spans="51:52">
      <c r="AY1356" s="134">
        <v>39987</v>
      </c>
      <c r="AZ1356" s="124" t="s">
        <v>323</v>
      </c>
    </row>
    <row r="1357" customHeight="1" spans="51:52">
      <c r="AY1357" s="134">
        <v>40016</v>
      </c>
      <c r="AZ1357" s="124" t="s">
        <v>136</v>
      </c>
    </row>
    <row r="1358" customHeight="1" spans="51:52">
      <c r="AY1358" s="134">
        <v>40045</v>
      </c>
      <c r="AZ1358" s="124" t="s">
        <v>155</v>
      </c>
    </row>
    <row r="1359" customHeight="1" spans="51:52">
      <c r="AY1359" s="134">
        <v>40075</v>
      </c>
      <c r="AZ1359" s="124" t="s">
        <v>174</v>
      </c>
    </row>
    <row r="1360" customHeight="1" spans="51:52">
      <c r="AY1360" s="134">
        <v>40104</v>
      </c>
      <c r="AZ1360" s="124" t="s">
        <v>186</v>
      </c>
    </row>
    <row r="1361" customHeight="1" spans="51:52">
      <c r="AY1361" s="134">
        <v>40134</v>
      </c>
      <c r="AZ1361" s="124" t="s">
        <v>198</v>
      </c>
    </row>
    <row r="1362" customHeight="1" spans="51:52">
      <c r="AY1362" s="134">
        <v>40163</v>
      </c>
      <c r="AZ1362" s="124" t="s">
        <v>233</v>
      </c>
    </row>
    <row r="1363" customHeight="1" spans="51:52">
      <c r="AY1363" s="134">
        <v>40193</v>
      </c>
      <c r="AZ1363" s="124" t="s">
        <v>56</v>
      </c>
    </row>
    <row r="1364" customHeight="1" spans="51:52">
      <c r="AY1364" s="134">
        <v>40223</v>
      </c>
      <c r="AZ1364" s="124" t="s">
        <v>77</v>
      </c>
    </row>
    <row r="1365" customHeight="1" spans="51:52">
      <c r="AY1365" s="134">
        <v>40253</v>
      </c>
      <c r="AZ1365" s="124" t="s">
        <v>63</v>
      </c>
    </row>
    <row r="1366" customHeight="1" spans="51:52">
      <c r="AY1366" s="134">
        <v>40282</v>
      </c>
      <c r="AZ1366" s="124" t="s">
        <v>83</v>
      </c>
    </row>
    <row r="1367" customHeight="1" spans="51:52">
      <c r="AY1367" s="134">
        <v>40312</v>
      </c>
      <c r="AZ1367" s="124" t="s">
        <v>101</v>
      </c>
    </row>
    <row r="1368" customHeight="1" spans="51:52">
      <c r="AY1368" s="134">
        <v>40341</v>
      </c>
      <c r="AZ1368" s="124" t="s">
        <v>117</v>
      </c>
    </row>
    <row r="1369" customHeight="1" spans="51:52">
      <c r="AY1369" s="134">
        <v>40371</v>
      </c>
      <c r="AZ1369" s="124" t="s">
        <v>136</v>
      </c>
    </row>
    <row r="1370" customHeight="1" spans="51:52">
      <c r="AY1370" s="134">
        <v>40400</v>
      </c>
      <c r="AZ1370" s="124" t="s">
        <v>155</v>
      </c>
    </row>
    <row r="1371" customHeight="1" spans="51:52">
      <c r="AY1371" s="134">
        <v>40429</v>
      </c>
      <c r="AZ1371" s="124" t="s">
        <v>174</v>
      </c>
    </row>
    <row r="1372" customHeight="1" spans="51:52">
      <c r="AY1372" s="134">
        <v>40459</v>
      </c>
      <c r="AZ1372" s="124" t="s">
        <v>186</v>
      </c>
    </row>
    <row r="1373" customHeight="1" spans="51:52">
      <c r="AY1373" s="134">
        <v>40488</v>
      </c>
      <c r="AZ1373" s="124" t="s">
        <v>198</v>
      </c>
    </row>
    <row r="1374" customHeight="1" spans="51:52">
      <c r="AY1374" s="134">
        <v>40518</v>
      </c>
      <c r="AZ1374" s="124" t="s">
        <v>233</v>
      </c>
    </row>
    <row r="1375" customHeight="1" spans="51:52">
      <c r="AY1375" s="134">
        <v>40547</v>
      </c>
      <c r="AZ1375" s="124" t="s">
        <v>56</v>
      </c>
    </row>
    <row r="1376" customHeight="1" spans="51:52">
      <c r="AY1376" s="134">
        <v>40577</v>
      </c>
      <c r="AZ1376" s="124" t="s">
        <v>77</v>
      </c>
    </row>
    <row r="1377" customHeight="1" spans="51:52">
      <c r="AY1377" s="134">
        <v>40607</v>
      </c>
      <c r="AZ1377" s="124" t="s">
        <v>63</v>
      </c>
    </row>
    <row r="1378" customHeight="1" spans="51:52">
      <c r="AY1378" s="134">
        <v>40636</v>
      </c>
      <c r="AZ1378" s="124" t="s">
        <v>83</v>
      </c>
    </row>
    <row r="1379" customHeight="1" spans="51:52">
      <c r="AY1379" s="134">
        <v>40666</v>
      </c>
      <c r="AZ1379" s="124" t="s">
        <v>101</v>
      </c>
    </row>
    <row r="1380" customHeight="1" spans="51:52">
      <c r="AY1380" s="134">
        <v>40696</v>
      </c>
      <c r="AZ1380" s="124" t="s">
        <v>117</v>
      </c>
    </row>
    <row r="1381" customHeight="1" spans="51:52">
      <c r="AY1381" s="134">
        <v>40725</v>
      </c>
      <c r="AZ1381" s="124" t="s">
        <v>136</v>
      </c>
    </row>
    <row r="1382" customHeight="1" spans="51:52">
      <c r="AY1382" s="134">
        <v>40755</v>
      </c>
      <c r="AZ1382" s="124" t="s">
        <v>155</v>
      </c>
    </row>
    <row r="1383" customHeight="1" spans="51:52">
      <c r="AY1383" s="134">
        <v>40784</v>
      </c>
      <c r="AZ1383" s="124" t="s">
        <v>174</v>
      </c>
    </row>
    <row r="1384" customHeight="1" spans="51:52">
      <c r="AY1384" s="134">
        <v>40813</v>
      </c>
      <c r="AZ1384" s="124" t="s">
        <v>186</v>
      </c>
    </row>
    <row r="1385" customHeight="1" spans="51:52">
      <c r="AY1385" s="134">
        <v>40843</v>
      </c>
      <c r="AZ1385" s="124" t="s">
        <v>198</v>
      </c>
    </row>
    <row r="1386" customHeight="1" spans="51:52">
      <c r="AY1386" s="134">
        <v>40872</v>
      </c>
      <c r="AZ1386" s="124" t="s">
        <v>233</v>
      </c>
    </row>
    <row r="1387" customHeight="1" spans="51:52">
      <c r="AY1387" s="134">
        <v>40902</v>
      </c>
      <c r="AZ1387" s="124" t="s">
        <v>56</v>
      </c>
    </row>
    <row r="1388" customHeight="1" spans="51:52">
      <c r="AY1388" s="134">
        <v>40931</v>
      </c>
      <c r="AZ1388" s="124" t="s">
        <v>77</v>
      </c>
    </row>
    <row r="1389" customHeight="1" spans="51:52">
      <c r="AY1389" s="134">
        <v>40961</v>
      </c>
      <c r="AZ1389" s="124" t="s">
        <v>63</v>
      </c>
    </row>
    <row r="1390" customHeight="1" spans="51:52">
      <c r="AY1390" s="134">
        <v>40990</v>
      </c>
      <c r="AZ1390" s="124" t="s">
        <v>83</v>
      </c>
    </row>
    <row r="1391" customHeight="1" spans="51:52">
      <c r="AY1391" s="134">
        <v>41020</v>
      </c>
      <c r="AZ1391" s="124" t="s">
        <v>101</v>
      </c>
    </row>
    <row r="1392" customHeight="1" spans="51:52">
      <c r="AY1392" s="134">
        <v>41050</v>
      </c>
      <c r="AZ1392" s="124" t="s">
        <v>384</v>
      </c>
    </row>
    <row r="1393" customHeight="1" spans="51:52">
      <c r="AY1393" s="134">
        <v>41079</v>
      </c>
      <c r="AZ1393" s="124" t="s">
        <v>117</v>
      </c>
    </row>
    <row r="1394" customHeight="1" spans="51:52">
      <c r="AY1394" s="134">
        <v>41109</v>
      </c>
      <c r="AZ1394" s="124" t="s">
        <v>136</v>
      </c>
    </row>
    <row r="1395" customHeight="1" spans="51:52">
      <c r="AY1395" s="134">
        <v>41138</v>
      </c>
      <c r="AZ1395" s="124" t="s">
        <v>155</v>
      </c>
    </row>
    <row r="1396" customHeight="1" spans="51:52">
      <c r="AY1396" s="134">
        <v>41168</v>
      </c>
      <c r="AZ1396" s="124" t="s">
        <v>174</v>
      </c>
    </row>
    <row r="1397" customHeight="1" spans="51:52">
      <c r="AY1397" s="134">
        <v>41197</v>
      </c>
      <c r="AZ1397" s="124" t="s">
        <v>186</v>
      </c>
    </row>
    <row r="1398" customHeight="1" spans="51:52">
      <c r="AY1398" s="134">
        <v>41227</v>
      </c>
      <c r="AZ1398" s="124" t="s">
        <v>198</v>
      </c>
    </row>
    <row r="1399" customHeight="1" spans="51:52">
      <c r="AY1399" s="134">
        <v>41256</v>
      </c>
      <c r="AZ1399" s="124" t="s">
        <v>233</v>
      </c>
    </row>
    <row r="1400" customHeight="1" spans="51:52">
      <c r="AY1400" s="134">
        <v>41286</v>
      </c>
      <c r="AZ1400" s="124" t="s">
        <v>56</v>
      </c>
    </row>
    <row r="1401" customHeight="1" spans="51:52">
      <c r="AY1401" s="134">
        <v>41315</v>
      </c>
      <c r="AZ1401" s="124" t="s">
        <v>77</v>
      </c>
    </row>
    <row r="1402" customHeight="1" spans="51:52">
      <c r="AY1402" s="134">
        <v>41345</v>
      </c>
      <c r="AZ1402" s="124" t="s">
        <v>63</v>
      </c>
    </row>
    <row r="1403" customHeight="1" spans="51:52">
      <c r="AY1403" s="134">
        <v>41374</v>
      </c>
      <c r="AZ1403" s="124" t="s">
        <v>83</v>
      </c>
    </row>
    <row r="1404" customHeight="1" spans="51:52">
      <c r="AY1404" s="134">
        <v>41404</v>
      </c>
      <c r="AZ1404" s="124" t="s">
        <v>101</v>
      </c>
    </row>
    <row r="1405" customHeight="1" spans="51:52">
      <c r="AY1405" s="135">
        <v>41433</v>
      </c>
      <c r="AZ1405" s="124" t="s">
        <v>117</v>
      </c>
    </row>
    <row r="1406" customHeight="1" spans="51:52">
      <c r="AY1406" s="134">
        <v>41463</v>
      </c>
      <c r="AZ1406" s="124" t="s">
        <v>136</v>
      </c>
    </row>
    <row r="1407" customHeight="1" spans="51:52">
      <c r="AY1407" s="134">
        <v>41493</v>
      </c>
      <c r="AZ1407" s="124" t="s">
        <v>155</v>
      </c>
    </row>
    <row r="1408" customHeight="1" spans="51:52">
      <c r="AY1408" s="134">
        <v>41522</v>
      </c>
      <c r="AZ1408" s="124" t="s">
        <v>174</v>
      </c>
    </row>
    <row r="1409" customHeight="1" spans="51:52">
      <c r="AY1409" s="134">
        <v>41552</v>
      </c>
      <c r="AZ1409" s="124" t="s">
        <v>186</v>
      </c>
    </row>
    <row r="1410" customHeight="1" spans="51:52">
      <c r="AY1410" s="134">
        <v>41581</v>
      </c>
      <c r="AZ1410" s="124" t="s">
        <v>198</v>
      </c>
    </row>
    <row r="1411" customHeight="1" spans="51:52">
      <c r="AY1411" s="134">
        <v>41611</v>
      </c>
      <c r="AZ1411" s="124" t="s">
        <v>233</v>
      </c>
    </row>
    <row r="1412" customHeight="1" spans="51:52">
      <c r="AY1412" s="134">
        <v>41640</v>
      </c>
      <c r="AZ1412" s="124" t="s">
        <v>56</v>
      </c>
    </row>
    <row r="1413" customHeight="1" spans="51:52">
      <c r="AY1413" s="134">
        <v>41670</v>
      </c>
      <c r="AZ1413" s="124" t="s">
        <v>77</v>
      </c>
    </row>
    <row r="1414" customHeight="1" spans="51:52">
      <c r="AY1414" s="134">
        <v>41699</v>
      </c>
      <c r="AZ1414" s="124" t="s">
        <v>63</v>
      </c>
    </row>
    <row r="1415" customHeight="1" spans="51:52">
      <c r="AY1415" s="134">
        <v>41729</v>
      </c>
      <c r="AZ1415" s="124" t="s">
        <v>83</v>
      </c>
    </row>
    <row r="1416" customHeight="1" spans="51:52">
      <c r="AY1416" s="134">
        <v>41758</v>
      </c>
      <c r="AZ1416" s="124" t="s">
        <v>101</v>
      </c>
    </row>
    <row r="1417" customHeight="1" spans="51:52">
      <c r="AY1417" s="134">
        <v>41788</v>
      </c>
      <c r="AZ1417" s="124" t="s">
        <v>117</v>
      </c>
    </row>
    <row r="1418" customHeight="1" spans="51:52">
      <c r="AY1418" s="134">
        <v>41817</v>
      </c>
      <c r="AZ1418" s="124" t="s">
        <v>136</v>
      </c>
    </row>
    <row r="1419" customHeight="1" spans="51:52">
      <c r="AY1419" s="134">
        <v>41847</v>
      </c>
      <c r="AZ1419" s="124" t="s">
        <v>155</v>
      </c>
    </row>
    <row r="1420" customHeight="1" spans="51:52">
      <c r="AY1420" s="134">
        <v>41876</v>
      </c>
      <c r="AZ1420" s="124" t="s">
        <v>174</v>
      </c>
    </row>
    <row r="1421" customHeight="1" spans="51:52">
      <c r="AY1421" s="134">
        <v>41906</v>
      </c>
      <c r="AZ1421" s="124" t="s">
        <v>186</v>
      </c>
    </row>
    <row r="1422" customHeight="1" spans="51:52">
      <c r="AY1422" s="134">
        <v>41936</v>
      </c>
      <c r="AZ1422" s="124" t="s">
        <v>406</v>
      </c>
    </row>
    <row r="1423" customHeight="1" spans="51:52">
      <c r="AY1423" s="134">
        <v>41965</v>
      </c>
      <c r="AZ1423" s="124" t="s">
        <v>198</v>
      </c>
    </row>
    <row r="1424" customHeight="1" spans="51:52">
      <c r="AY1424" s="134">
        <v>41995</v>
      </c>
      <c r="AZ1424" s="124" t="s">
        <v>233</v>
      </c>
    </row>
    <row r="1425" customHeight="1" spans="51:52">
      <c r="AY1425" s="134">
        <v>42024</v>
      </c>
      <c r="AZ1425" s="124" t="s">
        <v>56</v>
      </c>
    </row>
    <row r="1426" customHeight="1" spans="51:52">
      <c r="AY1426" s="134">
        <v>42054</v>
      </c>
      <c r="AZ1426" s="124" t="s">
        <v>77</v>
      </c>
    </row>
    <row r="1427" customHeight="1" spans="51:52">
      <c r="AY1427" s="134">
        <v>42083</v>
      </c>
      <c r="AZ1427" s="124" t="s">
        <v>63</v>
      </c>
    </row>
    <row r="1428" customHeight="1" spans="51:52">
      <c r="AY1428" s="134">
        <v>42113</v>
      </c>
      <c r="AZ1428" s="124" t="s">
        <v>83</v>
      </c>
    </row>
    <row r="1429" customHeight="1" spans="51:52">
      <c r="AY1429" s="134">
        <v>42142</v>
      </c>
      <c r="AZ1429" s="124" t="s">
        <v>101</v>
      </c>
    </row>
    <row r="1430" customHeight="1" spans="51:52">
      <c r="AY1430" s="134">
        <v>42171</v>
      </c>
      <c r="AZ1430" s="124" t="s">
        <v>117</v>
      </c>
    </row>
    <row r="1431" customHeight="1" spans="51:52">
      <c r="AY1431" s="134">
        <v>42201</v>
      </c>
      <c r="AZ1431" s="124" t="s">
        <v>136</v>
      </c>
    </row>
    <row r="1432" customHeight="1" spans="51:52">
      <c r="AY1432" s="134">
        <v>42230</v>
      </c>
      <c r="AZ1432" s="124" t="s">
        <v>155</v>
      </c>
    </row>
    <row r="1433" customHeight="1" spans="51:52">
      <c r="AY1433" s="134">
        <v>42260</v>
      </c>
      <c r="AZ1433" s="124" t="s">
        <v>174</v>
      </c>
    </row>
    <row r="1434" customHeight="1" spans="51:52">
      <c r="AY1434" s="134">
        <v>42290</v>
      </c>
      <c r="AZ1434" s="124" t="s">
        <v>186</v>
      </c>
    </row>
    <row r="1435" customHeight="1" spans="51:52">
      <c r="AY1435" s="134">
        <v>42320</v>
      </c>
      <c r="AZ1435" s="124" t="s">
        <v>198</v>
      </c>
    </row>
    <row r="1436" customHeight="1" spans="51:52">
      <c r="AY1436" s="134">
        <v>42349</v>
      </c>
      <c r="AZ1436" s="124" t="s">
        <v>233</v>
      </c>
    </row>
    <row r="1437" customHeight="1" spans="51:52">
      <c r="AY1437" s="134">
        <v>42379</v>
      </c>
      <c r="AZ1437" s="124" t="s">
        <v>56</v>
      </c>
    </row>
    <row r="1438" customHeight="1" spans="51:52">
      <c r="AY1438" s="134">
        <v>42408</v>
      </c>
      <c r="AZ1438" s="124" t="s">
        <v>77</v>
      </c>
    </row>
    <row r="1439" customHeight="1" spans="51:52">
      <c r="AY1439" s="134">
        <v>42438</v>
      </c>
      <c r="AZ1439" s="124" t="s">
        <v>63</v>
      </c>
    </row>
    <row r="1440" customHeight="1" spans="51:52">
      <c r="AY1440" s="134">
        <v>42467</v>
      </c>
      <c r="AZ1440" s="124" t="s">
        <v>83</v>
      </c>
    </row>
    <row r="1441" customHeight="1" spans="51:52">
      <c r="AY1441" s="134">
        <v>42497</v>
      </c>
      <c r="AZ1441" s="124" t="s">
        <v>101</v>
      </c>
    </row>
    <row r="1442" customHeight="1" spans="51:52">
      <c r="AY1442" s="134">
        <v>42526</v>
      </c>
      <c r="AZ1442" s="124" t="s">
        <v>117</v>
      </c>
    </row>
    <row r="1443" customHeight="1" spans="51:52">
      <c r="AY1443" s="134">
        <v>42555</v>
      </c>
      <c r="AZ1443" s="124" t="s">
        <v>136</v>
      </c>
    </row>
    <row r="1444" customHeight="1" spans="51:52">
      <c r="AY1444" s="134">
        <v>42585</v>
      </c>
      <c r="AZ1444" s="124" t="s">
        <v>155</v>
      </c>
    </row>
    <row r="1445" customHeight="1" spans="51:52">
      <c r="AY1445" s="134">
        <v>42614</v>
      </c>
      <c r="AZ1445" s="124" t="s">
        <v>174</v>
      </c>
    </row>
    <row r="1446" customHeight="1" spans="51:52">
      <c r="AY1446" s="134">
        <v>42644</v>
      </c>
      <c r="AZ1446" s="124" t="s">
        <v>186</v>
      </c>
    </row>
    <row r="1447" customHeight="1" spans="51:52">
      <c r="AY1447" s="134">
        <v>42674</v>
      </c>
      <c r="AZ1447" s="124" t="s">
        <v>198</v>
      </c>
    </row>
    <row r="1448" customHeight="1" spans="51:52">
      <c r="AY1448" s="134">
        <v>42703</v>
      </c>
      <c r="AZ1448" s="124" t="s">
        <v>233</v>
      </c>
    </row>
    <row r="1449" customHeight="1" spans="51:52">
      <c r="AY1449" s="134">
        <v>42733</v>
      </c>
      <c r="AZ1449" s="124" t="s">
        <v>56</v>
      </c>
    </row>
    <row r="1450" customHeight="1" spans="51:52">
      <c r="AY1450" s="134">
        <v>42763</v>
      </c>
      <c r="AZ1450" s="124" t="s">
        <v>77</v>
      </c>
    </row>
    <row r="1451" customHeight="1" spans="51:52">
      <c r="AY1451" s="134">
        <v>42792</v>
      </c>
      <c r="AZ1451" s="124" t="s">
        <v>63</v>
      </c>
    </row>
    <row r="1452" customHeight="1" spans="51:52">
      <c r="AY1452" s="134">
        <v>42822</v>
      </c>
      <c r="AZ1452" s="124" t="s">
        <v>83</v>
      </c>
    </row>
    <row r="1453" customHeight="1" spans="51:52">
      <c r="AY1453" s="134">
        <v>42851</v>
      </c>
      <c r="AZ1453" s="124" t="s">
        <v>101</v>
      </c>
    </row>
    <row r="1454" customHeight="1" spans="51:52">
      <c r="AY1454" s="134">
        <v>42881</v>
      </c>
      <c r="AZ1454" s="124" t="s">
        <v>117</v>
      </c>
    </row>
    <row r="1455" customHeight="1" spans="51:52">
      <c r="AY1455" s="134">
        <v>42910</v>
      </c>
      <c r="AZ1455" s="124" t="s">
        <v>136</v>
      </c>
    </row>
    <row r="1456" customHeight="1" spans="51:52">
      <c r="AY1456" s="134">
        <v>42939</v>
      </c>
      <c r="AZ1456" s="124" t="s">
        <v>392</v>
      </c>
    </row>
    <row r="1457" customHeight="1" spans="51:52">
      <c r="AY1457" s="134">
        <v>42969</v>
      </c>
      <c r="AZ1457" s="124" t="s">
        <v>155</v>
      </c>
    </row>
    <row r="1458" customHeight="1" spans="51:52">
      <c r="AY1458" s="134">
        <v>42998</v>
      </c>
      <c r="AZ1458" s="124" t="s">
        <v>174</v>
      </c>
    </row>
    <row r="1459" customHeight="1" spans="51:52">
      <c r="AY1459" s="134">
        <v>43028</v>
      </c>
      <c r="AZ1459" s="124" t="s">
        <v>186</v>
      </c>
    </row>
    <row r="1460" customHeight="1" spans="51:52">
      <c r="AY1460" s="134">
        <v>43057</v>
      </c>
      <c r="AZ1460" s="124" t="s">
        <v>198</v>
      </c>
    </row>
    <row r="1461" customHeight="1" spans="51:52">
      <c r="AY1461" s="134">
        <v>43087</v>
      </c>
      <c r="AZ1461" s="124" t="s">
        <v>233</v>
      </c>
    </row>
    <row r="1462" customHeight="1" spans="51:52">
      <c r="AY1462" s="134">
        <v>43117</v>
      </c>
      <c r="AZ1462" s="124" t="s">
        <v>56</v>
      </c>
    </row>
    <row r="1463" customHeight="1" spans="51:52">
      <c r="AY1463" s="134">
        <v>43147</v>
      </c>
      <c r="AZ1463" s="124" t="s">
        <v>77</v>
      </c>
    </row>
    <row r="1464" customHeight="1" spans="51:52">
      <c r="AY1464" s="134">
        <v>43176</v>
      </c>
      <c r="AZ1464" s="124" t="s">
        <v>63</v>
      </c>
    </row>
    <row r="1465" customHeight="1" spans="51:52">
      <c r="AY1465" s="134">
        <v>43206</v>
      </c>
      <c r="AZ1465" s="124" t="s">
        <v>83</v>
      </c>
    </row>
    <row r="1466" customHeight="1" spans="51:52">
      <c r="AY1466" s="134">
        <v>43235</v>
      </c>
      <c r="AZ1466" s="124" t="s">
        <v>101</v>
      </c>
    </row>
    <row r="1467" customHeight="1" spans="51:52">
      <c r="AY1467" s="134">
        <v>43265</v>
      </c>
      <c r="AZ1467" s="124" t="s">
        <v>117</v>
      </c>
    </row>
    <row r="1468" customHeight="1" spans="51:52">
      <c r="AY1468" s="134">
        <v>43294</v>
      </c>
      <c r="AZ1468" s="124" t="s">
        <v>136</v>
      </c>
    </row>
    <row r="1469" customHeight="1" spans="51:52">
      <c r="AY1469" s="134">
        <v>43323</v>
      </c>
      <c r="AZ1469" s="124" t="s">
        <v>155</v>
      </c>
    </row>
    <row r="1470" customHeight="1" spans="51:52">
      <c r="AY1470" s="134">
        <v>43353</v>
      </c>
      <c r="AZ1470" s="124" t="s">
        <v>174</v>
      </c>
    </row>
    <row r="1471" customHeight="1" spans="51:52">
      <c r="AY1471" s="134">
        <v>43382</v>
      </c>
      <c r="AZ1471" s="124" t="s">
        <v>186</v>
      </c>
    </row>
    <row r="1472" customHeight="1" spans="51:52">
      <c r="AY1472" s="134">
        <v>43412</v>
      </c>
      <c r="AZ1472" s="124" t="s">
        <v>198</v>
      </c>
    </row>
    <row r="1473" customHeight="1" spans="51:52">
      <c r="AY1473" s="134">
        <v>43441</v>
      </c>
      <c r="AZ1473" s="124" t="s">
        <v>233</v>
      </c>
    </row>
    <row r="1474" customHeight="1" spans="51:52">
      <c r="AY1474" s="134">
        <v>43471</v>
      </c>
      <c r="AZ1474" s="124" t="s">
        <v>56</v>
      </c>
    </row>
    <row r="1475" customHeight="1" spans="51:52">
      <c r="AY1475" s="134">
        <v>43501</v>
      </c>
      <c r="AZ1475" s="124" t="s">
        <v>77</v>
      </c>
    </row>
    <row r="1476" customHeight="1" spans="51:52">
      <c r="AY1476" s="134">
        <v>43531</v>
      </c>
      <c r="AZ1476" s="124" t="s">
        <v>63</v>
      </c>
    </row>
    <row r="1477" customHeight="1" spans="51:52">
      <c r="AY1477" s="134">
        <v>43560</v>
      </c>
      <c r="AZ1477" s="124" t="s">
        <v>83</v>
      </c>
    </row>
    <row r="1478" customHeight="1" spans="51:52">
      <c r="AY1478" s="134">
        <v>43590</v>
      </c>
      <c r="AZ1478" s="124" t="s">
        <v>101</v>
      </c>
    </row>
    <row r="1479" customHeight="1" spans="51:52">
      <c r="AY1479" s="134">
        <v>43619</v>
      </c>
      <c r="AZ1479" s="124" t="s">
        <v>117</v>
      </c>
    </row>
    <row r="1480" customHeight="1" spans="51:52">
      <c r="AY1480" s="134">
        <v>43649</v>
      </c>
      <c r="AZ1480" s="124" t="s">
        <v>136</v>
      </c>
    </row>
    <row r="1481" customHeight="1" spans="51:52">
      <c r="AY1481" s="134">
        <v>43678</v>
      </c>
      <c r="AZ1481" s="124" t="s">
        <v>155</v>
      </c>
    </row>
    <row r="1482" customHeight="1" spans="51:52">
      <c r="AY1482" s="134">
        <v>43707</v>
      </c>
      <c r="AZ1482" s="124" t="s">
        <v>174</v>
      </c>
    </row>
    <row r="1483" customHeight="1" spans="51:52">
      <c r="AY1483" s="134">
        <v>43737</v>
      </c>
      <c r="AZ1483" s="124" t="s">
        <v>186</v>
      </c>
    </row>
    <row r="1484" customHeight="1" spans="51:52">
      <c r="AY1484" s="134">
        <v>43766</v>
      </c>
      <c r="AZ1484" s="124" t="s">
        <v>198</v>
      </c>
    </row>
    <row r="1485" customHeight="1" spans="51:52">
      <c r="AY1485" s="134">
        <v>43795</v>
      </c>
      <c r="AZ1485" s="124" t="s">
        <v>233</v>
      </c>
    </row>
    <row r="1486" customHeight="1" spans="51:52">
      <c r="AY1486" s="134">
        <v>43825</v>
      </c>
      <c r="AZ1486" s="124" t="s">
        <v>56</v>
      </c>
    </row>
    <row r="1487" customHeight="1" spans="51:52">
      <c r="AY1487" s="134">
        <v>43855</v>
      </c>
      <c r="AZ1487" s="124" t="s">
        <v>77</v>
      </c>
    </row>
    <row r="1488" customHeight="1" spans="51:52">
      <c r="AY1488" s="134">
        <v>43884</v>
      </c>
      <c r="AZ1488" s="124" t="s">
        <v>63</v>
      </c>
    </row>
    <row r="1489" customHeight="1" spans="51:52">
      <c r="AY1489" s="134">
        <v>43914</v>
      </c>
      <c r="AZ1489" s="124" t="s">
        <v>83</v>
      </c>
    </row>
    <row r="1490" customHeight="1" spans="51:52">
      <c r="AY1490" s="134">
        <v>43944</v>
      </c>
      <c r="AZ1490" s="124" t="s">
        <v>101</v>
      </c>
    </row>
    <row r="1491" customHeight="1" spans="51:52">
      <c r="AY1491" s="134">
        <v>43974</v>
      </c>
      <c r="AZ1491" s="124" t="s">
        <v>384</v>
      </c>
    </row>
    <row r="1492" customHeight="1" spans="51:52">
      <c r="AY1492" s="134">
        <v>44003</v>
      </c>
      <c r="AZ1492" s="124" t="s">
        <v>117</v>
      </c>
    </row>
    <row r="1493" customHeight="1" spans="51:52">
      <c r="AY1493" s="134">
        <v>44033</v>
      </c>
      <c r="AZ1493" s="124" t="s">
        <v>136</v>
      </c>
    </row>
    <row r="1494" customHeight="1" spans="51:52">
      <c r="AY1494" s="134">
        <v>44062</v>
      </c>
      <c r="AZ1494" s="124" t="s">
        <v>155</v>
      </c>
    </row>
    <row r="1495" customHeight="1" spans="51:52">
      <c r="AY1495" s="134">
        <v>44091</v>
      </c>
      <c r="AZ1495" s="124" t="s">
        <v>174</v>
      </c>
    </row>
    <row r="1496" customHeight="1" spans="51:52">
      <c r="AY1496" s="134">
        <v>44121</v>
      </c>
      <c r="AZ1496" s="124" t="s">
        <v>186</v>
      </c>
    </row>
    <row r="1497" customHeight="1" spans="51:52">
      <c r="AY1497" s="134">
        <v>44150</v>
      </c>
      <c r="AZ1497" s="124" t="s">
        <v>198</v>
      </c>
    </row>
    <row r="1498" customHeight="1" spans="51:52">
      <c r="AY1498" s="134">
        <v>44180</v>
      </c>
      <c r="AZ1498" s="124" t="s">
        <v>233</v>
      </c>
    </row>
    <row r="1499" customHeight="1" spans="51:52">
      <c r="AY1499" s="134">
        <v>44209</v>
      </c>
      <c r="AZ1499" s="124" t="s">
        <v>56</v>
      </c>
    </row>
    <row r="1500" customHeight="1" spans="51:52">
      <c r="AY1500" s="134">
        <v>44239</v>
      </c>
      <c r="AZ1500" s="124" t="s">
        <v>77</v>
      </c>
    </row>
    <row r="1501" customHeight="1" spans="51:52">
      <c r="AY1501" s="134">
        <v>44268</v>
      </c>
      <c r="AZ1501" s="124" t="s">
        <v>63</v>
      </c>
    </row>
    <row r="1502" customHeight="1" spans="51:52">
      <c r="AY1502" s="134">
        <v>44298</v>
      </c>
      <c r="AZ1502" s="124" t="s">
        <v>83</v>
      </c>
    </row>
    <row r="1503" customHeight="1" spans="51:52">
      <c r="AY1503" s="134">
        <v>44328</v>
      </c>
      <c r="AZ1503" s="124" t="s">
        <v>101</v>
      </c>
    </row>
    <row r="1504" customHeight="1" spans="51:52">
      <c r="AY1504" s="134">
        <v>44357</v>
      </c>
      <c r="AZ1504" s="124" t="s">
        <v>117</v>
      </c>
    </row>
    <row r="1505" customHeight="1" spans="51:52">
      <c r="AY1505" s="134">
        <v>44387</v>
      </c>
      <c r="AZ1505" s="124" t="s">
        <v>136</v>
      </c>
    </row>
    <row r="1506" customHeight="1" spans="51:52">
      <c r="AY1506" s="134">
        <v>44416</v>
      </c>
      <c r="AZ1506" s="124" t="s">
        <v>155</v>
      </c>
    </row>
    <row r="1507" customHeight="1" spans="51:52">
      <c r="AY1507" s="134">
        <v>44446</v>
      </c>
      <c r="AZ1507" s="124" t="s">
        <v>174</v>
      </c>
    </row>
    <row r="1508" customHeight="1" spans="51:52">
      <c r="AY1508" s="134">
        <v>44475</v>
      </c>
      <c r="AZ1508" s="124" t="s">
        <v>186</v>
      </c>
    </row>
    <row r="1509" customHeight="1" spans="51:52">
      <c r="AY1509" s="134">
        <v>44505</v>
      </c>
      <c r="AZ1509" s="124" t="s">
        <v>198</v>
      </c>
    </row>
    <row r="1510" customHeight="1" spans="51:52">
      <c r="AY1510" s="134">
        <v>44534</v>
      </c>
      <c r="AZ1510" s="124" t="s">
        <v>233</v>
      </c>
    </row>
    <row r="1511" customHeight="1" spans="51:52">
      <c r="AY1511" s="134">
        <v>44564</v>
      </c>
      <c r="AZ1511" s="124" t="s">
        <v>56</v>
      </c>
    </row>
    <row r="1512" customHeight="1" spans="51:52">
      <c r="AY1512" s="134">
        <v>44593</v>
      </c>
      <c r="AZ1512" s="124" t="s">
        <v>77</v>
      </c>
    </row>
    <row r="1513" customHeight="1" spans="51:52">
      <c r="AY1513" s="134">
        <v>44623</v>
      </c>
      <c r="AZ1513" s="124" t="s">
        <v>63</v>
      </c>
    </row>
    <row r="1514" customHeight="1" spans="51:52">
      <c r="AY1514" s="134">
        <v>44652</v>
      </c>
      <c r="AZ1514" s="124" t="s">
        <v>83</v>
      </c>
    </row>
    <row r="1515" customHeight="1" spans="51:52">
      <c r="AY1515" s="134">
        <v>44682</v>
      </c>
      <c r="AZ1515" s="124" t="s">
        <v>101</v>
      </c>
    </row>
    <row r="1516" customHeight="1" spans="51:52">
      <c r="AY1516" s="134">
        <v>44711</v>
      </c>
      <c r="AZ1516" s="124" t="s">
        <v>117</v>
      </c>
    </row>
    <row r="1517" customHeight="1" spans="51:52">
      <c r="AY1517" s="134">
        <v>44741</v>
      </c>
      <c r="AZ1517" s="124" t="s">
        <v>136</v>
      </c>
    </row>
    <row r="1518" customHeight="1" spans="51:52">
      <c r="AY1518" s="134">
        <v>44771</v>
      </c>
      <c r="AZ1518" s="124" t="s">
        <v>155</v>
      </c>
    </row>
    <row r="1519" customHeight="1" spans="51:52">
      <c r="AY1519" s="134">
        <v>44800</v>
      </c>
      <c r="AZ1519" s="124" t="s">
        <v>174</v>
      </c>
    </row>
    <row r="1520" customHeight="1" spans="51:52">
      <c r="AY1520" s="134">
        <v>44830</v>
      </c>
      <c r="AZ1520" s="124" t="s">
        <v>186</v>
      </c>
    </row>
    <row r="1521" customHeight="1" spans="51:52">
      <c r="AY1521" s="134">
        <v>44859</v>
      </c>
      <c r="AZ1521" s="124" t="s">
        <v>198</v>
      </c>
    </row>
    <row r="1522" customHeight="1" spans="51:52">
      <c r="AY1522" s="134">
        <v>44889</v>
      </c>
      <c r="AZ1522" s="124" t="s">
        <v>233</v>
      </c>
    </row>
    <row r="1523" customHeight="1" spans="51:52">
      <c r="AY1523" s="134">
        <v>44918</v>
      </c>
      <c r="AZ1523" s="124" t="s">
        <v>56</v>
      </c>
    </row>
    <row r="1524" customHeight="1" spans="51:52">
      <c r="AY1524" s="134">
        <v>44948</v>
      </c>
      <c r="AZ1524" s="124" t="s">
        <v>77</v>
      </c>
    </row>
    <row r="1525" customHeight="1" spans="51:52">
      <c r="AY1525" s="134">
        <v>44977</v>
      </c>
      <c r="AZ1525" s="124" t="s">
        <v>63</v>
      </c>
    </row>
    <row r="1526" customHeight="1" spans="51:52">
      <c r="AY1526" s="134">
        <v>45007</v>
      </c>
      <c r="AZ1526" s="139" t="s">
        <v>391</v>
      </c>
    </row>
    <row r="1527" customHeight="1" spans="51:52">
      <c r="AY1527" s="134">
        <v>45036</v>
      </c>
      <c r="AZ1527" s="124" t="s">
        <v>83</v>
      </c>
    </row>
    <row r="1528" customHeight="1" spans="51:52">
      <c r="AY1528" s="138">
        <v>45065</v>
      </c>
      <c r="AZ1528" s="124" t="s">
        <v>101</v>
      </c>
    </row>
    <row r="1529" customHeight="1" spans="51:52">
      <c r="AY1529" s="134">
        <v>45095</v>
      </c>
      <c r="AZ1529" s="124" t="s">
        <v>117</v>
      </c>
    </row>
    <row r="1530" customHeight="1" spans="51:52">
      <c r="AY1530" s="134">
        <v>45125</v>
      </c>
      <c r="AZ1530" s="124" t="s">
        <v>136</v>
      </c>
    </row>
    <row r="1531" customHeight="1" spans="51:52">
      <c r="AY1531" s="134">
        <v>45154</v>
      </c>
      <c r="AZ1531" s="124" t="s">
        <v>155</v>
      </c>
    </row>
    <row r="1532" customHeight="1" spans="51:52">
      <c r="AY1532" s="134">
        <v>45184</v>
      </c>
      <c r="AZ1532" s="124" t="s">
        <v>174</v>
      </c>
    </row>
    <row r="1533" customHeight="1" spans="51:52">
      <c r="AY1533" s="134">
        <v>45214</v>
      </c>
      <c r="AZ1533" s="124" t="s">
        <v>186</v>
      </c>
    </row>
    <row r="1534" customHeight="1" spans="51:52">
      <c r="AY1534" s="134">
        <v>45243</v>
      </c>
      <c r="AZ1534" s="124" t="s">
        <v>198</v>
      </c>
    </row>
    <row r="1535" customHeight="1" spans="51:52">
      <c r="AY1535" s="134">
        <v>45273</v>
      </c>
      <c r="AZ1535" s="124" t="s">
        <v>233</v>
      </c>
    </row>
    <row r="1536" customHeight="1" spans="51:52">
      <c r="AY1536" s="134">
        <v>45302</v>
      </c>
      <c r="AZ1536" s="124" t="s">
        <v>56</v>
      </c>
    </row>
    <row r="1537" customHeight="1" spans="51:52">
      <c r="AY1537" s="134">
        <v>45332</v>
      </c>
      <c r="AZ1537" s="124" t="s">
        <v>77</v>
      </c>
    </row>
    <row r="1538" customHeight="1" spans="51:52">
      <c r="AY1538" s="134">
        <v>45361</v>
      </c>
      <c r="AZ1538" s="124" t="s">
        <v>63</v>
      </c>
    </row>
    <row r="1539" customHeight="1" spans="51:52">
      <c r="AY1539" s="134">
        <v>45391</v>
      </c>
      <c r="AZ1539" s="124" t="s">
        <v>83</v>
      </c>
    </row>
    <row r="1540" customHeight="1" spans="51:52">
      <c r="AY1540" s="134">
        <v>45420</v>
      </c>
      <c r="AZ1540" s="124" t="s">
        <v>101</v>
      </c>
    </row>
    <row r="1541" customHeight="1" spans="51:52">
      <c r="AY1541" s="134">
        <v>45449</v>
      </c>
      <c r="AZ1541" s="124" t="s">
        <v>117</v>
      </c>
    </row>
    <row r="1542" customHeight="1" spans="51:52">
      <c r="AY1542" s="134">
        <v>45479</v>
      </c>
      <c r="AZ1542" s="124" t="s">
        <v>136</v>
      </c>
    </row>
    <row r="1543" customHeight="1" spans="51:52">
      <c r="AY1543" s="134">
        <v>45508</v>
      </c>
      <c r="AZ1543" s="124" t="s">
        <v>155</v>
      </c>
    </row>
    <row r="1544" customHeight="1" spans="51:52">
      <c r="AY1544" s="134">
        <v>45538</v>
      </c>
      <c r="AZ1544" s="124" t="s">
        <v>174</v>
      </c>
    </row>
    <row r="1545" customHeight="1" spans="51:52">
      <c r="AY1545" s="134">
        <v>45568</v>
      </c>
      <c r="AZ1545" s="124" t="s">
        <v>186</v>
      </c>
    </row>
    <row r="1546" customHeight="1" spans="51:52">
      <c r="AY1546" s="134">
        <v>45597</v>
      </c>
      <c r="AZ1546" s="124" t="s">
        <v>198</v>
      </c>
    </row>
    <row r="1547" customHeight="1" spans="51:52">
      <c r="AY1547" s="134">
        <v>45627</v>
      </c>
      <c r="AZ1547" s="124" t="s">
        <v>233</v>
      </c>
    </row>
    <row r="1548" customHeight="1" spans="51:52">
      <c r="AY1548" s="134">
        <v>45657</v>
      </c>
      <c r="AZ1548" s="124" t="s">
        <v>56</v>
      </c>
    </row>
    <row r="1549" customHeight="1" spans="51:52">
      <c r="AY1549" s="134">
        <v>45686</v>
      </c>
      <c r="AZ1549" s="124" t="s">
        <v>77</v>
      </c>
    </row>
    <row r="1550" customHeight="1" spans="51:52">
      <c r="AY1550" s="134">
        <v>45716</v>
      </c>
      <c r="AZ1550" s="124" t="s">
        <v>63</v>
      </c>
    </row>
    <row r="1551" customHeight="1" spans="51:52">
      <c r="AY1551" s="134">
        <v>45745</v>
      </c>
      <c r="AZ1551" s="124" t="s">
        <v>83</v>
      </c>
    </row>
    <row r="1552" customHeight="1" spans="51:52">
      <c r="AY1552" s="134">
        <v>45775</v>
      </c>
      <c r="AZ1552" s="124" t="s">
        <v>101</v>
      </c>
    </row>
    <row r="1553" customHeight="1" spans="51:52">
      <c r="AY1553" s="134">
        <v>45804</v>
      </c>
      <c r="AZ1553" s="124" t="s">
        <v>117</v>
      </c>
    </row>
    <row r="1554" customHeight="1" spans="51:52">
      <c r="AY1554" s="134">
        <v>45833</v>
      </c>
      <c r="AZ1554" s="124" t="s">
        <v>136</v>
      </c>
    </row>
    <row r="1555" customHeight="1" spans="51:52">
      <c r="AY1555" s="134">
        <v>45863</v>
      </c>
      <c r="AZ1555" s="124" t="s">
        <v>392</v>
      </c>
    </row>
    <row r="1556" customHeight="1" spans="51:52">
      <c r="AY1556" s="134">
        <v>45892</v>
      </c>
      <c r="AZ1556" s="124" t="s">
        <v>155</v>
      </c>
    </row>
    <row r="1557" customHeight="1" spans="51:52">
      <c r="AY1557" s="134">
        <v>45922</v>
      </c>
      <c r="AZ1557" s="124" t="s">
        <v>174</v>
      </c>
    </row>
    <row r="1558" customHeight="1" spans="51:52">
      <c r="AY1558" s="134">
        <v>45951</v>
      </c>
      <c r="AZ1558" s="124" t="s">
        <v>186</v>
      </c>
    </row>
    <row r="1559" customHeight="1" spans="51:52">
      <c r="AY1559" s="134">
        <v>45981</v>
      </c>
      <c r="AZ1559" s="124" t="s">
        <v>198</v>
      </c>
    </row>
    <row r="1560" customHeight="1" spans="51:52">
      <c r="AY1560" s="134">
        <v>46011</v>
      </c>
      <c r="AZ1560" s="124" t="s">
        <v>233</v>
      </c>
    </row>
    <row r="1561" customHeight="1" spans="51:52">
      <c r="AY1561" s="134">
        <v>46041</v>
      </c>
      <c r="AZ1561" s="124" t="s">
        <v>56</v>
      </c>
    </row>
    <row r="1562" customHeight="1" spans="51:52">
      <c r="AY1562" s="134">
        <v>46070</v>
      </c>
      <c r="AZ1562" s="124" t="s">
        <v>77</v>
      </c>
    </row>
    <row r="1563" customHeight="1" spans="51:52">
      <c r="AY1563" s="134">
        <v>46100</v>
      </c>
      <c r="AZ1563" s="124" t="s">
        <v>63</v>
      </c>
    </row>
    <row r="1564" customHeight="1" spans="51:52">
      <c r="AY1564" s="134">
        <v>46129</v>
      </c>
      <c r="AZ1564" s="124" t="s">
        <v>83</v>
      </c>
    </row>
    <row r="1565" customHeight="1" spans="51:52">
      <c r="AY1565" s="134">
        <v>46159</v>
      </c>
      <c r="AZ1565" s="124" t="s">
        <v>101</v>
      </c>
    </row>
    <row r="1566" customHeight="1" spans="51:52">
      <c r="AY1566" s="134">
        <v>46188</v>
      </c>
      <c r="AZ1566" s="124" t="s">
        <v>117</v>
      </c>
    </row>
    <row r="1567" customHeight="1" spans="51:52">
      <c r="AY1567" s="134">
        <v>46217</v>
      </c>
      <c r="AZ1567" s="124" t="s">
        <v>136</v>
      </c>
    </row>
    <row r="1568" customHeight="1" spans="51:52">
      <c r="AY1568" s="134">
        <v>46247</v>
      </c>
      <c r="AZ1568" s="124" t="s">
        <v>155</v>
      </c>
    </row>
    <row r="1569" customHeight="1" spans="51:52">
      <c r="AY1569" s="134">
        <v>46276</v>
      </c>
      <c r="AZ1569" s="124" t="s">
        <v>174</v>
      </c>
    </row>
    <row r="1570" customHeight="1" spans="51:52">
      <c r="AY1570" s="134">
        <v>46305</v>
      </c>
      <c r="AZ1570" s="124" t="s">
        <v>186</v>
      </c>
    </row>
    <row r="1571" customHeight="1" spans="51:52">
      <c r="AY1571" s="134">
        <v>46335</v>
      </c>
      <c r="AZ1571" s="124" t="s">
        <v>198</v>
      </c>
    </row>
    <row r="1572" customHeight="1" spans="51:52">
      <c r="AY1572" s="134">
        <v>46365</v>
      </c>
      <c r="AZ1572" s="124" t="s">
        <v>233</v>
      </c>
    </row>
    <row r="1573" customHeight="1" spans="51:52">
      <c r="AY1573" s="134">
        <v>46395</v>
      </c>
      <c r="AZ1573" s="124" t="s">
        <v>56</v>
      </c>
    </row>
    <row r="1574" customHeight="1" spans="51:52">
      <c r="AY1574" s="134">
        <v>46424</v>
      </c>
      <c r="AZ1574" s="124" t="s">
        <v>77</v>
      </c>
    </row>
    <row r="1575" customHeight="1" spans="51:52">
      <c r="AY1575" s="134">
        <v>46454</v>
      </c>
      <c r="AZ1575" s="124" t="s">
        <v>63</v>
      </c>
    </row>
    <row r="1576" customHeight="1" spans="51:52">
      <c r="AY1576" s="134">
        <v>46484</v>
      </c>
      <c r="AZ1576" s="124" t="s">
        <v>83</v>
      </c>
    </row>
    <row r="1577" customHeight="1" spans="51:52">
      <c r="AY1577" s="134">
        <v>46513</v>
      </c>
      <c r="AZ1577" s="124" t="s">
        <v>101</v>
      </c>
    </row>
    <row r="1578" customHeight="1" spans="51:52">
      <c r="AY1578" s="134">
        <v>46543</v>
      </c>
      <c r="AZ1578" s="124" t="s">
        <v>117</v>
      </c>
    </row>
    <row r="1579" customHeight="1" spans="51:52">
      <c r="AY1579" s="134">
        <v>46572</v>
      </c>
      <c r="AZ1579" s="124" t="s">
        <v>136</v>
      </c>
    </row>
    <row r="1580" customHeight="1" spans="51:52">
      <c r="AY1580" s="134">
        <v>46601</v>
      </c>
      <c r="AZ1580" s="124" t="s">
        <v>155</v>
      </c>
    </row>
    <row r="1581" customHeight="1" spans="51:52">
      <c r="AY1581" s="134">
        <v>46631</v>
      </c>
      <c r="AZ1581" s="124" t="s">
        <v>174</v>
      </c>
    </row>
    <row r="1582" customHeight="1" spans="51:52">
      <c r="AY1582" s="134">
        <v>46660</v>
      </c>
      <c r="AZ1582" s="124" t="s">
        <v>186</v>
      </c>
    </row>
    <row r="1583" customHeight="1" spans="51:52">
      <c r="AY1583" s="134">
        <v>46689</v>
      </c>
      <c r="AZ1583" s="124" t="s">
        <v>198</v>
      </c>
    </row>
    <row r="1584" customHeight="1" spans="51:52">
      <c r="AY1584" s="134">
        <v>46719</v>
      </c>
      <c r="AZ1584" s="124" t="s">
        <v>233</v>
      </c>
    </row>
    <row r="1585" customHeight="1" spans="51:52">
      <c r="AY1585" s="134">
        <v>46749</v>
      </c>
      <c r="AZ1585" s="124" t="s">
        <v>56</v>
      </c>
    </row>
    <row r="1586" customHeight="1" spans="51:52">
      <c r="AY1586" s="134">
        <v>46778</v>
      </c>
      <c r="AZ1586" s="124" t="s">
        <v>77</v>
      </c>
    </row>
    <row r="1587" customHeight="1" spans="51:52">
      <c r="AY1587" s="134">
        <v>46808</v>
      </c>
      <c r="AZ1587" s="124" t="s">
        <v>63</v>
      </c>
    </row>
    <row r="1588" customHeight="1" spans="51:52">
      <c r="AY1588" s="134">
        <v>46838</v>
      </c>
      <c r="AZ1588" s="124" t="s">
        <v>83</v>
      </c>
    </row>
    <row r="1589" customHeight="1" spans="51:52">
      <c r="AY1589" s="134">
        <v>46868</v>
      </c>
      <c r="AZ1589" s="124" t="s">
        <v>101</v>
      </c>
    </row>
    <row r="1590" customHeight="1" spans="51:52">
      <c r="AY1590" s="134">
        <v>46897</v>
      </c>
      <c r="AZ1590" s="124" t="s">
        <v>117</v>
      </c>
    </row>
    <row r="1591" customHeight="1" spans="51:52">
      <c r="AY1591" s="134">
        <v>46927</v>
      </c>
      <c r="AZ1591" s="124" t="s">
        <v>323</v>
      </c>
    </row>
    <row r="1592" customHeight="1" spans="51:52">
      <c r="AY1592" s="134">
        <v>46956</v>
      </c>
      <c r="AZ1592" s="124" t="s">
        <v>136</v>
      </c>
    </row>
    <row r="1593" customHeight="1" spans="51:52">
      <c r="AY1593" s="134">
        <v>46985</v>
      </c>
      <c r="AZ1593" s="124" t="s">
        <v>155</v>
      </c>
    </row>
    <row r="1594" customHeight="1" spans="51:52">
      <c r="AY1594" s="134">
        <v>47015</v>
      </c>
      <c r="AZ1594" s="124" t="s">
        <v>174</v>
      </c>
    </row>
    <row r="1595" customHeight="1" spans="51:52">
      <c r="AY1595" s="134">
        <v>47044</v>
      </c>
      <c r="AZ1595" s="124" t="s">
        <v>186</v>
      </c>
    </row>
    <row r="1596" customHeight="1" spans="51:52">
      <c r="AY1596" s="134">
        <v>47073</v>
      </c>
      <c r="AZ1596" s="124" t="s">
        <v>198</v>
      </c>
    </row>
    <row r="1597" customHeight="1" spans="51:52">
      <c r="AY1597" s="134">
        <v>47103</v>
      </c>
      <c r="AZ1597" s="124" t="s">
        <v>233</v>
      </c>
    </row>
    <row r="1598" customHeight="1" spans="51:52">
      <c r="AY1598" s="134">
        <v>47133</v>
      </c>
      <c r="AZ1598" s="124" t="s">
        <v>56</v>
      </c>
    </row>
    <row r="1599" customHeight="1" spans="51:52">
      <c r="AY1599" s="134">
        <v>47162</v>
      </c>
      <c r="AZ1599" s="124" t="s">
        <v>77</v>
      </c>
    </row>
    <row r="1600" customHeight="1" spans="51:52">
      <c r="AY1600" s="134">
        <v>47192</v>
      </c>
      <c r="AZ1600" s="124" t="s">
        <v>63</v>
      </c>
    </row>
    <row r="1601" customHeight="1" spans="51:52">
      <c r="AY1601" s="134">
        <v>47222</v>
      </c>
      <c r="AZ1601" s="124" t="s">
        <v>83</v>
      </c>
    </row>
    <row r="1602" customHeight="1" spans="51:52">
      <c r="AY1602" s="134">
        <v>47251</v>
      </c>
      <c r="AZ1602" s="124" t="s">
        <v>101</v>
      </c>
    </row>
    <row r="1603" customHeight="1" spans="51:52">
      <c r="AY1603" s="134">
        <v>47281</v>
      </c>
      <c r="AZ1603" s="124" t="s">
        <v>117</v>
      </c>
    </row>
    <row r="1604" customHeight="1" spans="51:52">
      <c r="AY1604" s="134">
        <v>47310</v>
      </c>
      <c r="AZ1604" s="124" t="s">
        <v>136</v>
      </c>
    </row>
    <row r="1605" customHeight="1" spans="51:52">
      <c r="AY1605" s="134">
        <v>47340</v>
      </c>
      <c r="AZ1605" s="124" t="s">
        <v>155</v>
      </c>
    </row>
    <row r="1606" customHeight="1" spans="51:52">
      <c r="AY1606" s="134">
        <v>47369</v>
      </c>
      <c r="AZ1606" s="124" t="s">
        <v>174</v>
      </c>
    </row>
    <row r="1607" customHeight="1" spans="51:52">
      <c r="AY1607" s="134">
        <v>47399</v>
      </c>
      <c r="AZ1607" s="124" t="s">
        <v>186</v>
      </c>
    </row>
    <row r="1608" customHeight="1" spans="51:52">
      <c r="AY1608" s="134">
        <v>47428</v>
      </c>
      <c r="AZ1608" s="124" t="s">
        <v>198</v>
      </c>
    </row>
    <row r="1609" customHeight="1" spans="51:52">
      <c r="AY1609" s="134">
        <v>47457</v>
      </c>
      <c r="AZ1609" s="124" t="s">
        <v>233</v>
      </c>
    </row>
    <row r="1610" customHeight="1" spans="51:52">
      <c r="AY1610" s="134">
        <v>47487</v>
      </c>
      <c r="AZ1610" s="124" t="s">
        <v>56</v>
      </c>
    </row>
    <row r="1611" customHeight="1" spans="51:52">
      <c r="AY1611" s="138">
        <v>47517</v>
      </c>
      <c r="AZ1611" s="124" t="s">
        <v>77</v>
      </c>
    </row>
    <row r="1612" customHeight="1" spans="51:52">
      <c r="AY1612" s="134">
        <v>47546</v>
      </c>
      <c r="AZ1612" s="124" t="s">
        <v>63</v>
      </c>
    </row>
    <row r="1613" customHeight="1" spans="51:52">
      <c r="AY1613" s="134">
        <v>47576</v>
      </c>
      <c r="AZ1613" s="124" t="s">
        <v>83</v>
      </c>
    </row>
    <row r="1614" customHeight="1" spans="51:52">
      <c r="AY1614" s="134">
        <v>47605</v>
      </c>
      <c r="AZ1614" s="124" t="s">
        <v>101</v>
      </c>
    </row>
    <row r="1615" customHeight="1" spans="51:52">
      <c r="AY1615" s="134">
        <v>47635</v>
      </c>
      <c r="AZ1615" s="124" t="s">
        <v>117</v>
      </c>
    </row>
    <row r="1616" customHeight="1" spans="51:52">
      <c r="AY1616" s="134">
        <v>47665</v>
      </c>
      <c r="AZ1616" s="124" t="s">
        <v>136</v>
      </c>
    </row>
    <row r="1617" customHeight="1" spans="51:52">
      <c r="AY1617" s="134">
        <v>47694</v>
      </c>
      <c r="AZ1617" s="124" t="s">
        <v>155</v>
      </c>
    </row>
    <row r="1618" customHeight="1" spans="51:52">
      <c r="AY1618" s="134">
        <v>47724</v>
      </c>
      <c r="AZ1618" s="124" t="s">
        <v>174</v>
      </c>
    </row>
    <row r="1619" customHeight="1" spans="51:52">
      <c r="AY1619" s="134">
        <v>47753</v>
      </c>
      <c r="AZ1619" s="124" t="s">
        <v>186</v>
      </c>
    </row>
    <row r="1620" customHeight="1" spans="51:52">
      <c r="AY1620" s="134">
        <v>47783</v>
      </c>
      <c r="AZ1620" s="124" t="s">
        <v>198</v>
      </c>
    </row>
    <row r="1621" customHeight="1" spans="51:52">
      <c r="AY1621" s="134">
        <v>47812</v>
      </c>
      <c r="AZ1621" s="124" t="s">
        <v>233</v>
      </c>
    </row>
    <row r="1622" customHeight="1" spans="51:52">
      <c r="AY1622" s="134">
        <v>47842</v>
      </c>
      <c r="AZ1622" s="124" t="s">
        <v>56</v>
      </c>
    </row>
    <row r="1623" customHeight="1" spans="51:52">
      <c r="AY1623" s="134">
        <v>47871</v>
      </c>
      <c r="AZ1623" s="124" t="s">
        <v>77</v>
      </c>
    </row>
    <row r="1624" customHeight="1" spans="51:52">
      <c r="AY1624" s="134">
        <v>47900</v>
      </c>
      <c r="AZ1624" s="124" t="s">
        <v>63</v>
      </c>
    </row>
    <row r="1625" customHeight="1" spans="51:52">
      <c r="AY1625" s="134">
        <v>47930</v>
      </c>
      <c r="AZ1625" s="124" t="s">
        <v>83</v>
      </c>
    </row>
    <row r="1626" customHeight="1" spans="51:52">
      <c r="AY1626" s="134">
        <v>47960</v>
      </c>
      <c r="AZ1626" s="124" t="s">
        <v>404</v>
      </c>
    </row>
    <row r="1627" customHeight="1" spans="51:52">
      <c r="AY1627" s="134">
        <v>47989</v>
      </c>
      <c r="AZ1627" s="124" t="s">
        <v>101</v>
      </c>
    </row>
    <row r="1628" customHeight="1" spans="51:52">
      <c r="AY1628" s="134">
        <v>48019</v>
      </c>
      <c r="AZ1628" s="124" t="s">
        <v>117</v>
      </c>
    </row>
    <row r="1629" customHeight="1" spans="51:52">
      <c r="AY1629" s="134">
        <v>48048</v>
      </c>
      <c r="AZ1629" s="124" t="s">
        <v>136</v>
      </c>
    </row>
    <row r="1630" customHeight="1" spans="51:52">
      <c r="AY1630" s="134">
        <v>48078</v>
      </c>
      <c r="AZ1630" s="124" t="s">
        <v>155</v>
      </c>
    </row>
    <row r="1631" customHeight="1" spans="51:52">
      <c r="AY1631" s="134">
        <v>48108</v>
      </c>
      <c r="AZ1631" s="124" t="s">
        <v>174</v>
      </c>
    </row>
    <row r="1632" customHeight="1" spans="51:52">
      <c r="AY1632" s="134">
        <v>48137</v>
      </c>
      <c r="AZ1632" s="124" t="s">
        <v>186</v>
      </c>
    </row>
    <row r="1633" customHeight="1" spans="51:52">
      <c r="AY1633" s="134">
        <v>48167</v>
      </c>
      <c r="AZ1633" s="124" t="s">
        <v>198</v>
      </c>
    </row>
    <row r="1634" customHeight="1" spans="51:52">
      <c r="AY1634" s="134">
        <v>48196</v>
      </c>
      <c r="AZ1634" s="124" t="s">
        <v>233</v>
      </c>
    </row>
    <row r="1635" customHeight="1" spans="51:52">
      <c r="AY1635" s="134">
        <v>48226</v>
      </c>
      <c r="AZ1635" s="124" t="s">
        <v>56</v>
      </c>
    </row>
    <row r="1636" customHeight="1" spans="51:52">
      <c r="AY1636" s="134">
        <v>48255</v>
      </c>
      <c r="AZ1636" s="124" t="s">
        <v>77</v>
      </c>
    </row>
    <row r="1637" customHeight="1" spans="51:52">
      <c r="AY1637" s="134">
        <v>48285</v>
      </c>
      <c r="AZ1637" s="124" t="s">
        <v>63</v>
      </c>
    </row>
    <row r="1638" customHeight="1" spans="51:52">
      <c r="AY1638" s="134">
        <v>48314</v>
      </c>
      <c r="AZ1638" s="124" t="s">
        <v>83</v>
      </c>
    </row>
    <row r="1639" customHeight="1" spans="51:52">
      <c r="AY1639" s="134">
        <v>48343</v>
      </c>
      <c r="AZ1639" s="124" t="s">
        <v>101</v>
      </c>
    </row>
    <row r="1640" customHeight="1" spans="51:52">
      <c r="AY1640" s="134">
        <v>48373</v>
      </c>
      <c r="AZ1640" s="124" t="s">
        <v>117</v>
      </c>
    </row>
    <row r="1641" customHeight="1" spans="51:52">
      <c r="AY1641" s="134">
        <v>48402</v>
      </c>
      <c r="AZ1641" s="124" t="s">
        <v>136</v>
      </c>
    </row>
    <row r="1642" customHeight="1" spans="51:52">
      <c r="AY1642" s="134">
        <v>48432</v>
      </c>
      <c r="AZ1642" s="124" t="s">
        <v>155</v>
      </c>
    </row>
    <row r="1643" customHeight="1" spans="51:52">
      <c r="AY1643" s="134">
        <v>48462</v>
      </c>
      <c r="AZ1643" s="124" t="s">
        <v>174</v>
      </c>
    </row>
    <row r="1644" customHeight="1" spans="51:52">
      <c r="AY1644" s="134">
        <v>48491</v>
      </c>
      <c r="AZ1644" s="124" t="s">
        <v>186</v>
      </c>
    </row>
    <row r="1645" customHeight="1" spans="51:52">
      <c r="AY1645" s="134">
        <v>48521</v>
      </c>
      <c r="AZ1645" s="124" t="s">
        <v>198</v>
      </c>
    </row>
    <row r="1646" customHeight="1" spans="51:52">
      <c r="AY1646" s="134">
        <v>48551</v>
      </c>
      <c r="AZ1646" s="124" t="s">
        <v>233</v>
      </c>
    </row>
    <row r="1647" customHeight="1" spans="51:52">
      <c r="AY1647" s="134">
        <v>48580</v>
      </c>
      <c r="AZ1647" s="124" t="s">
        <v>56</v>
      </c>
    </row>
    <row r="1648" customHeight="1" spans="51:52">
      <c r="AY1648" s="134">
        <v>48610</v>
      </c>
      <c r="AZ1648" s="124" t="s">
        <v>77</v>
      </c>
    </row>
    <row r="1649" customHeight="1" spans="51:52">
      <c r="AY1649" s="134">
        <v>48639</v>
      </c>
      <c r="AZ1649" s="124" t="s">
        <v>63</v>
      </c>
    </row>
    <row r="1650" customHeight="1" spans="51:52">
      <c r="AY1650" s="134">
        <v>48669</v>
      </c>
      <c r="AZ1650" s="124" t="s">
        <v>83</v>
      </c>
    </row>
    <row r="1651" customHeight="1" spans="51:52">
      <c r="AY1651" s="134">
        <v>48698</v>
      </c>
      <c r="AZ1651" s="124" t="s">
        <v>101</v>
      </c>
    </row>
    <row r="1652" customHeight="1" spans="51:52">
      <c r="AY1652" s="134">
        <v>48727</v>
      </c>
      <c r="AZ1652" s="124" t="s">
        <v>117</v>
      </c>
    </row>
    <row r="1653" customHeight="1" spans="51:52">
      <c r="AY1653" s="134">
        <v>48757</v>
      </c>
      <c r="AZ1653" s="124" t="s">
        <v>136</v>
      </c>
    </row>
    <row r="1654" customHeight="1" spans="51:52">
      <c r="AY1654" s="134">
        <v>48786</v>
      </c>
      <c r="AZ1654" s="124" t="s">
        <v>155</v>
      </c>
    </row>
    <row r="1655" customHeight="1" spans="51:52">
      <c r="AY1655" s="135">
        <v>48816</v>
      </c>
      <c r="AZ1655" s="139" t="s">
        <v>174</v>
      </c>
    </row>
    <row r="1656" customHeight="1" spans="51:52">
      <c r="AY1656" s="135">
        <v>48845</v>
      </c>
      <c r="AZ1656" s="139" t="s">
        <v>186</v>
      </c>
    </row>
    <row r="1657" customHeight="1" spans="51:52">
      <c r="AY1657" s="135">
        <v>48875</v>
      </c>
      <c r="AZ1657" s="139" t="s">
        <v>198</v>
      </c>
    </row>
    <row r="1658" customHeight="1" spans="51:52">
      <c r="AY1658" s="135">
        <v>48905</v>
      </c>
      <c r="AZ1658" s="139" t="s">
        <v>233</v>
      </c>
    </row>
    <row r="1659" customHeight="1" spans="51:52">
      <c r="AY1659" s="135">
        <v>48935</v>
      </c>
      <c r="AZ1659" s="139" t="s">
        <v>407</v>
      </c>
    </row>
    <row r="1660" customHeight="1" spans="51:52">
      <c r="AY1660" s="134">
        <v>48964</v>
      </c>
      <c r="AZ1660" s="124" t="s">
        <v>56</v>
      </c>
    </row>
    <row r="1661" customHeight="1" spans="51:52">
      <c r="AY1661" s="134">
        <v>48994</v>
      </c>
      <c r="AZ1661" s="124" t="s">
        <v>77</v>
      </c>
    </row>
    <row r="1662" customHeight="1" spans="51:52">
      <c r="AY1662" s="134">
        <v>49023</v>
      </c>
      <c r="AZ1662" s="124" t="s">
        <v>63</v>
      </c>
    </row>
    <row r="1663" customHeight="1" spans="51:52">
      <c r="AY1663" s="134">
        <v>49053</v>
      </c>
      <c r="AZ1663" s="124" t="s">
        <v>83</v>
      </c>
    </row>
    <row r="1664" customHeight="1" spans="51:52">
      <c r="AY1664" s="134">
        <v>49082</v>
      </c>
      <c r="AZ1664" s="124" t="s">
        <v>101</v>
      </c>
    </row>
    <row r="1665" customHeight="1" spans="51:52">
      <c r="AY1665" s="134">
        <v>49111</v>
      </c>
      <c r="AZ1665" s="124" t="s">
        <v>117</v>
      </c>
    </row>
    <row r="1666" customHeight="1" spans="51:52">
      <c r="AY1666" s="134">
        <v>49141</v>
      </c>
      <c r="AZ1666" s="124" t="s">
        <v>136</v>
      </c>
    </row>
    <row r="1667" customHeight="1" spans="51:52">
      <c r="AY1667" s="134">
        <v>49170</v>
      </c>
      <c r="AZ1667" s="124" t="s">
        <v>155</v>
      </c>
    </row>
    <row r="1668" customHeight="1" spans="51:52">
      <c r="AY1668" s="134">
        <v>49200</v>
      </c>
      <c r="AZ1668" s="124" t="s">
        <v>174</v>
      </c>
    </row>
    <row r="1669" customHeight="1" spans="51:52">
      <c r="AY1669" s="134">
        <v>49229</v>
      </c>
      <c r="AZ1669" s="124" t="s">
        <v>186</v>
      </c>
    </row>
    <row r="1670" customHeight="1" spans="51:52">
      <c r="AY1670" s="134">
        <v>49259</v>
      </c>
      <c r="AZ1670" s="124" t="s">
        <v>198</v>
      </c>
    </row>
    <row r="1671" customHeight="1" spans="51:52">
      <c r="AY1671" s="134">
        <v>49289</v>
      </c>
      <c r="AZ1671" s="124" t="s">
        <v>233</v>
      </c>
    </row>
    <row r="1672" customHeight="1" spans="51:52">
      <c r="AY1672" s="134">
        <v>49318</v>
      </c>
      <c r="AZ1672" s="124" t="s">
        <v>56</v>
      </c>
    </row>
    <row r="1673" customHeight="1" spans="51:52">
      <c r="AY1673" s="134">
        <v>49348</v>
      </c>
      <c r="AZ1673" s="124" t="s">
        <v>77</v>
      </c>
    </row>
    <row r="1674" customHeight="1" spans="51:52">
      <c r="AY1674" s="134">
        <v>49378</v>
      </c>
      <c r="AZ1674" s="124" t="s">
        <v>63</v>
      </c>
    </row>
    <row r="1675" customHeight="1" spans="51:52">
      <c r="AY1675" s="134">
        <v>49407</v>
      </c>
      <c r="AZ1675" s="124" t="s">
        <v>83</v>
      </c>
    </row>
    <row r="1676" customHeight="1" spans="51:52">
      <c r="AY1676" s="134">
        <v>49437</v>
      </c>
      <c r="AZ1676" s="124" t="s">
        <v>101</v>
      </c>
    </row>
    <row r="1677" customHeight="1" spans="51:52">
      <c r="AY1677" s="134">
        <v>49466</v>
      </c>
      <c r="AZ1677" s="124" t="s">
        <v>117</v>
      </c>
    </row>
    <row r="1678" customHeight="1" spans="51:52">
      <c r="AY1678" s="134">
        <v>49495</v>
      </c>
      <c r="AZ1678" s="124" t="s">
        <v>136</v>
      </c>
    </row>
    <row r="1679" customHeight="1" spans="51:52">
      <c r="AY1679" s="134">
        <v>49525</v>
      </c>
      <c r="AZ1679" s="124" t="s">
        <v>155</v>
      </c>
    </row>
    <row r="1680" customHeight="1" spans="51:52">
      <c r="AY1680" s="134">
        <v>49554</v>
      </c>
      <c r="AZ1680" s="124" t="s">
        <v>174</v>
      </c>
    </row>
    <row r="1681" customHeight="1" spans="51:52">
      <c r="AY1681" s="134">
        <v>49583</v>
      </c>
      <c r="AZ1681" s="124" t="s">
        <v>186</v>
      </c>
    </row>
    <row r="1682" customHeight="1" spans="51:52">
      <c r="AY1682" s="134">
        <v>49613</v>
      </c>
      <c r="AZ1682" s="124" t="s">
        <v>198</v>
      </c>
    </row>
    <row r="1683" customHeight="1" spans="51:52">
      <c r="AY1683" s="134">
        <v>49643</v>
      </c>
      <c r="AZ1683" s="124" t="s">
        <v>233</v>
      </c>
    </row>
    <row r="1684" customHeight="1" spans="51:52">
      <c r="AY1684" s="134">
        <v>49672</v>
      </c>
      <c r="AZ1684" s="124" t="s">
        <v>56</v>
      </c>
    </row>
    <row r="1685" customHeight="1" spans="51:52">
      <c r="AY1685" s="134">
        <v>49702</v>
      </c>
      <c r="AZ1685" s="124" t="s">
        <v>77</v>
      </c>
    </row>
    <row r="1686" customHeight="1" spans="51:52">
      <c r="AY1686" s="134">
        <v>49732</v>
      </c>
      <c r="AZ1686" s="124" t="s">
        <v>63</v>
      </c>
    </row>
    <row r="1687" customHeight="1" spans="51:52">
      <c r="AY1687" s="134">
        <v>49762</v>
      </c>
      <c r="AZ1687" s="124" t="s">
        <v>83</v>
      </c>
    </row>
    <row r="1688" customHeight="1" spans="51:52">
      <c r="AY1688" s="134">
        <v>49791</v>
      </c>
      <c r="AZ1688" s="124" t="s">
        <v>101</v>
      </c>
    </row>
    <row r="1689" customHeight="1" spans="51:52">
      <c r="AY1689" s="134">
        <v>49821</v>
      </c>
      <c r="AZ1689" s="124" t="s">
        <v>117</v>
      </c>
    </row>
    <row r="1690" customHeight="1" spans="51:52">
      <c r="AY1690" s="134">
        <v>49850</v>
      </c>
      <c r="AZ1690" s="124" t="s">
        <v>136</v>
      </c>
    </row>
    <row r="1691" customHeight="1" spans="51:52">
      <c r="AY1691" s="134">
        <v>49879</v>
      </c>
      <c r="AZ1691" s="124" t="s">
        <v>392</v>
      </c>
    </row>
    <row r="1692" customHeight="1" spans="51:52">
      <c r="AY1692" s="134">
        <v>49909</v>
      </c>
      <c r="AZ1692" s="124" t="s">
        <v>155</v>
      </c>
    </row>
    <row r="1693" customHeight="1" spans="51:52">
      <c r="AY1693" s="134">
        <v>49938</v>
      </c>
      <c r="AZ1693" s="124" t="s">
        <v>174</v>
      </c>
    </row>
    <row r="1694" customHeight="1" spans="51:52">
      <c r="AY1694" s="134">
        <v>49967</v>
      </c>
      <c r="AZ1694" s="124" t="s">
        <v>186</v>
      </c>
    </row>
    <row r="1695" customHeight="1" spans="51:52">
      <c r="AY1695" s="134">
        <v>49997</v>
      </c>
      <c r="AZ1695" s="124" t="s">
        <v>198</v>
      </c>
    </row>
    <row r="1696" customHeight="1" spans="51:52">
      <c r="AY1696" s="134">
        <v>50026</v>
      </c>
      <c r="AZ1696" s="124" t="s">
        <v>233</v>
      </c>
    </row>
    <row r="1697" customHeight="1" spans="51:52">
      <c r="AY1697" s="134">
        <v>50056</v>
      </c>
      <c r="AZ1697" s="124" t="s">
        <v>56</v>
      </c>
    </row>
    <row r="1698" customHeight="1" spans="51:52">
      <c r="AY1698" s="134">
        <v>50086</v>
      </c>
      <c r="AZ1698" s="124" t="s">
        <v>77</v>
      </c>
    </row>
    <row r="1699" customHeight="1" spans="51:52">
      <c r="AY1699" s="134">
        <v>50116</v>
      </c>
      <c r="AZ1699" s="124" t="s">
        <v>63</v>
      </c>
    </row>
    <row r="1700" customHeight="1" spans="51:52">
      <c r="AY1700" s="134">
        <v>50146</v>
      </c>
      <c r="AZ1700" s="124" t="s">
        <v>83</v>
      </c>
    </row>
    <row r="1701" customHeight="1" spans="51:52">
      <c r="AY1701" s="134">
        <v>50175</v>
      </c>
      <c r="AZ1701" s="124" t="s">
        <v>101</v>
      </c>
    </row>
    <row r="1702" customHeight="1" spans="51:52">
      <c r="AY1702" s="134">
        <v>50205</v>
      </c>
      <c r="AZ1702" s="124" t="s">
        <v>117</v>
      </c>
    </row>
    <row r="1703" customHeight="1" spans="51:52">
      <c r="AY1703" s="134">
        <v>50234</v>
      </c>
      <c r="AZ1703" s="124" t="s">
        <v>136</v>
      </c>
    </row>
    <row r="1704" customHeight="1" spans="51:52">
      <c r="AY1704" s="134">
        <v>50263</v>
      </c>
      <c r="AZ1704" s="124" t="s">
        <v>155</v>
      </c>
    </row>
    <row r="1705" customHeight="1" spans="51:52">
      <c r="AY1705" s="134">
        <v>50293</v>
      </c>
      <c r="AZ1705" s="124" t="s">
        <v>174</v>
      </c>
    </row>
    <row r="1706" customHeight="1" spans="51:52">
      <c r="AY1706" s="134">
        <v>50322</v>
      </c>
      <c r="AZ1706" s="124" t="s">
        <v>186</v>
      </c>
    </row>
    <row r="1707" customHeight="1" spans="51:52">
      <c r="AY1707" s="134">
        <v>50351</v>
      </c>
      <c r="AZ1707" s="124" t="s">
        <v>198</v>
      </c>
    </row>
    <row r="1708" customHeight="1" spans="51:52">
      <c r="AY1708" s="134">
        <v>50381</v>
      </c>
      <c r="AZ1708" s="124" t="s">
        <v>233</v>
      </c>
    </row>
    <row r="1709" customHeight="1" spans="51:52">
      <c r="AY1709" s="134">
        <v>50410</v>
      </c>
      <c r="AZ1709" s="124" t="s">
        <v>56</v>
      </c>
    </row>
    <row r="1710" customHeight="1" spans="51:52">
      <c r="AY1710" s="134">
        <v>50440</v>
      </c>
      <c r="AZ1710" s="124" t="s">
        <v>77</v>
      </c>
    </row>
    <row r="1711" customHeight="1" spans="51:52">
      <c r="AY1711" s="134">
        <v>50470</v>
      </c>
      <c r="AZ1711" s="124" t="s">
        <v>63</v>
      </c>
    </row>
    <row r="1712" customHeight="1" spans="51:52">
      <c r="AY1712" s="134">
        <v>50500</v>
      </c>
      <c r="AZ1712" s="124" t="s">
        <v>83</v>
      </c>
    </row>
    <row r="1713" customHeight="1" spans="51:52">
      <c r="AY1713" s="134">
        <v>50529</v>
      </c>
      <c r="AZ1713" s="124" t="s">
        <v>101</v>
      </c>
    </row>
    <row r="1714" customHeight="1" spans="51:52">
      <c r="AY1714" s="134">
        <v>50559</v>
      </c>
      <c r="AZ1714" s="124" t="s">
        <v>117</v>
      </c>
    </row>
    <row r="1715" customHeight="1" spans="51:52">
      <c r="AY1715" s="134">
        <v>50588</v>
      </c>
      <c r="AZ1715" s="124" t="s">
        <v>136</v>
      </c>
    </row>
    <row r="1716" customHeight="1" spans="51:52">
      <c r="AY1716" s="134">
        <v>50618</v>
      </c>
      <c r="AZ1716" s="124" t="s">
        <v>155</v>
      </c>
    </row>
    <row r="1717" customHeight="1" spans="51:52">
      <c r="AY1717" s="134">
        <v>50647</v>
      </c>
      <c r="AZ1717" s="124" t="s">
        <v>174</v>
      </c>
    </row>
    <row r="1718" customHeight="1" spans="51:52">
      <c r="AY1718" s="134">
        <v>50677</v>
      </c>
      <c r="AZ1718" s="124" t="s">
        <v>186</v>
      </c>
    </row>
    <row r="1719" customHeight="1" spans="51:52">
      <c r="AY1719" s="134">
        <v>50706</v>
      </c>
      <c r="AZ1719" s="124" t="s">
        <v>198</v>
      </c>
    </row>
    <row r="1720" customHeight="1" spans="51:52">
      <c r="AY1720" s="134">
        <v>50735</v>
      </c>
      <c r="AZ1720" s="124" t="s">
        <v>233</v>
      </c>
    </row>
    <row r="1721" customHeight="1" spans="51:52">
      <c r="AY1721" s="134">
        <v>50765</v>
      </c>
      <c r="AZ1721" s="124" t="s">
        <v>56</v>
      </c>
    </row>
    <row r="1722" customHeight="1" spans="51:52">
      <c r="AY1722" s="134">
        <v>50794</v>
      </c>
      <c r="AZ1722" s="124" t="s">
        <v>77</v>
      </c>
    </row>
    <row r="1723" customHeight="1" spans="51:52">
      <c r="AY1723" s="134">
        <v>50824</v>
      </c>
      <c r="AZ1723" s="124" t="s">
        <v>63</v>
      </c>
    </row>
    <row r="1724" customHeight="1" spans="51:52">
      <c r="AY1724" s="134">
        <v>50854</v>
      </c>
      <c r="AZ1724" s="124" t="s">
        <v>83</v>
      </c>
    </row>
    <row r="1725" customHeight="1" spans="51:52">
      <c r="AY1725" s="134">
        <v>50883</v>
      </c>
      <c r="AZ1725" s="124" t="s">
        <v>101</v>
      </c>
    </row>
    <row r="1726" customHeight="1" spans="51:52">
      <c r="AY1726" s="134">
        <v>50913</v>
      </c>
      <c r="AZ1726" s="124" t="s">
        <v>117</v>
      </c>
    </row>
    <row r="1727" customHeight="1" spans="51:52">
      <c r="AY1727" s="134">
        <v>50943</v>
      </c>
      <c r="AZ1727" s="124" t="s">
        <v>323</v>
      </c>
    </row>
    <row r="1728" customHeight="1" spans="51:52">
      <c r="AY1728" s="134">
        <v>50972</v>
      </c>
      <c r="AZ1728" s="124" t="s">
        <v>136</v>
      </c>
    </row>
    <row r="1729" customHeight="1" spans="51:52">
      <c r="AY1729" s="134">
        <v>51002</v>
      </c>
      <c r="AZ1729" s="124" t="s">
        <v>155</v>
      </c>
    </row>
    <row r="1730" customHeight="1" spans="51:52">
      <c r="AY1730" s="134">
        <v>51031</v>
      </c>
      <c r="AZ1730" s="124" t="s">
        <v>174</v>
      </c>
    </row>
    <row r="1731" customHeight="1" spans="51:52">
      <c r="AY1731" s="134">
        <v>51061</v>
      </c>
      <c r="AZ1731" s="124" t="s">
        <v>186</v>
      </c>
    </row>
    <row r="1732" customHeight="1" spans="51:52">
      <c r="AY1732" s="134">
        <v>51090</v>
      </c>
      <c r="AZ1732" s="124" t="s">
        <v>198</v>
      </c>
    </row>
    <row r="1733" customHeight="1" spans="51:52">
      <c r="AY1733" s="134">
        <v>51120</v>
      </c>
      <c r="AZ1733" s="124" t="s">
        <v>233</v>
      </c>
    </row>
    <row r="1734" customHeight="1" spans="51:52">
      <c r="AY1734" s="134">
        <v>51149</v>
      </c>
      <c r="AZ1734" s="124" t="s">
        <v>56</v>
      </c>
    </row>
    <row r="1735" customHeight="1" spans="51:52">
      <c r="AY1735" s="134">
        <v>51178</v>
      </c>
      <c r="AZ1735" s="124" t="s">
        <v>77</v>
      </c>
    </row>
    <row r="1736" customHeight="1" spans="51:52">
      <c r="AY1736" s="134">
        <v>51208</v>
      </c>
      <c r="AZ1736" s="124" t="s">
        <v>63</v>
      </c>
    </row>
    <row r="1737" customHeight="1" spans="51:52">
      <c r="AY1737" s="134">
        <v>51237</v>
      </c>
      <c r="AZ1737" s="124" t="s">
        <v>83</v>
      </c>
    </row>
    <row r="1738" customHeight="1" spans="51:52">
      <c r="AY1738" s="134">
        <v>51267</v>
      </c>
      <c r="AZ1738" s="124" t="s">
        <v>101</v>
      </c>
    </row>
    <row r="1739" customHeight="1" spans="51:52">
      <c r="AY1739" s="134">
        <v>51297</v>
      </c>
      <c r="AZ1739" s="124" t="s">
        <v>117</v>
      </c>
    </row>
    <row r="1740" customHeight="1" spans="51:52">
      <c r="AY1740" s="134">
        <v>51326</v>
      </c>
      <c r="AZ1740" s="124" t="s">
        <v>136</v>
      </c>
    </row>
    <row r="1741" customHeight="1" spans="51:52">
      <c r="AY1741" s="134">
        <v>51356</v>
      </c>
      <c r="AZ1741" s="124" t="s">
        <v>155</v>
      </c>
    </row>
    <row r="1742" customHeight="1" spans="51:52">
      <c r="AY1742" s="134">
        <v>51385</v>
      </c>
      <c r="AZ1742" s="124" t="s">
        <v>174</v>
      </c>
    </row>
    <row r="1743" customHeight="1" spans="51:52">
      <c r="AY1743" s="134">
        <v>51415</v>
      </c>
      <c r="AZ1743" s="124" t="s">
        <v>186</v>
      </c>
    </row>
    <row r="1744" customHeight="1" spans="51:52">
      <c r="AY1744" s="134">
        <v>51445</v>
      </c>
      <c r="AZ1744" s="124" t="s">
        <v>198</v>
      </c>
    </row>
    <row r="1745" customHeight="1" spans="51:52">
      <c r="AY1745" s="134">
        <v>51474</v>
      </c>
      <c r="AZ1745" s="124" t="s">
        <v>233</v>
      </c>
    </row>
    <row r="1746" customHeight="1" spans="51:52">
      <c r="AY1746" s="134">
        <v>51504</v>
      </c>
      <c r="AZ1746" s="124" t="s">
        <v>56</v>
      </c>
    </row>
    <row r="1747" customHeight="1" spans="51:52">
      <c r="AY1747" s="134">
        <v>51533</v>
      </c>
      <c r="AZ1747" s="124" t="s">
        <v>77</v>
      </c>
    </row>
    <row r="1748" customHeight="1" spans="51:52">
      <c r="AY1748" s="134">
        <v>51562</v>
      </c>
      <c r="AZ1748" s="124" t="s">
        <v>63</v>
      </c>
    </row>
    <row r="1749" customHeight="1" spans="51:52">
      <c r="AY1749" s="134">
        <v>51592</v>
      </c>
      <c r="AZ1749" s="124" t="s">
        <v>83</v>
      </c>
    </row>
    <row r="1750" customHeight="1" spans="51:52">
      <c r="AY1750" s="134">
        <v>51621</v>
      </c>
      <c r="AZ1750" s="124" t="s">
        <v>101</v>
      </c>
    </row>
    <row r="1751" customHeight="1" spans="51:52">
      <c r="AY1751" s="134">
        <v>51651</v>
      </c>
      <c r="AZ1751" s="124" t="s">
        <v>117</v>
      </c>
    </row>
    <row r="1752" customHeight="1" spans="51:52">
      <c r="AY1752" s="134">
        <v>51680</v>
      </c>
      <c r="AZ1752" s="124" t="s">
        <v>136</v>
      </c>
    </row>
    <row r="1753" customHeight="1" spans="51:52">
      <c r="AY1753" s="134">
        <v>51710</v>
      </c>
      <c r="AZ1753" s="124" t="s">
        <v>155</v>
      </c>
    </row>
    <row r="1754" customHeight="1" spans="51:52">
      <c r="AY1754" s="134">
        <v>51740</v>
      </c>
      <c r="AZ1754" s="124" t="s">
        <v>174</v>
      </c>
    </row>
    <row r="1755" customHeight="1" spans="51:52">
      <c r="AY1755" s="134">
        <v>51769</v>
      </c>
      <c r="AZ1755" s="124" t="s">
        <v>186</v>
      </c>
    </row>
    <row r="1756" customHeight="1" spans="51:52">
      <c r="AY1756" s="134">
        <v>51799</v>
      </c>
      <c r="AZ1756" s="124" t="s">
        <v>198</v>
      </c>
    </row>
    <row r="1757" customHeight="1" spans="51:52">
      <c r="AY1757" s="134">
        <v>51829</v>
      </c>
      <c r="AZ1757" s="124" t="s">
        <v>233</v>
      </c>
    </row>
    <row r="1758" customHeight="1" spans="51:52">
      <c r="AY1758" s="134">
        <v>51858</v>
      </c>
      <c r="AZ1758" s="124" t="s">
        <v>56</v>
      </c>
    </row>
    <row r="1759" customHeight="1" spans="51:52">
      <c r="AY1759" s="134">
        <v>51888</v>
      </c>
      <c r="AZ1759" s="124" t="s">
        <v>77</v>
      </c>
    </row>
    <row r="1760" customHeight="1" spans="51:52">
      <c r="AY1760" s="134">
        <v>51917</v>
      </c>
      <c r="AZ1760" s="124" t="s">
        <v>63</v>
      </c>
    </row>
    <row r="1761" customHeight="1" spans="51:52">
      <c r="AY1761" s="134">
        <v>51947</v>
      </c>
      <c r="AZ1761" s="124" t="s">
        <v>391</v>
      </c>
    </row>
    <row r="1762" customHeight="1" spans="51:52">
      <c r="AY1762" s="134">
        <v>51976</v>
      </c>
      <c r="AZ1762" s="124" t="s">
        <v>83</v>
      </c>
    </row>
    <row r="1763" customHeight="1" spans="51:52">
      <c r="AY1763" s="134">
        <v>52005</v>
      </c>
      <c r="AZ1763" s="124" t="s">
        <v>101</v>
      </c>
    </row>
    <row r="1764" customHeight="1" spans="51:52">
      <c r="AY1764" s="134">
        <v>52035</v>
      </c>
      <c r="AZ1764" s="124" t="s">
        <v>117</v>
      </c>
    </row>
    <row r="1765" customHeight="1" spans="51:52">
      <c r="AY1765" s="134">
        <v>52064</v>
      </c>
      <c r="AZ1765" s="124" t="s">
        <v>136</v>
      </c>
    </row>
    <row r="1766" customHeight="1" spans="51:52">
      <c r="AY1766" s="134">
        <v>52094</v>
      </c>
      <c r="AZ1766" s="124" t="s">
        <v>155</v>
      </c>
    </row>
    <row r="1767" customHeight="1" spans="51:52">
      <c r="AY1767" s="134">
        <v>52123</v>
      </c>
      <c r="AZ1767" s="124" t="s">
        <v>174</v>
      </c>
    </row>
    <row r="1768" customHeight="1" spans="51:52">
      <c r="AY1768" s="134">
        <v>52153</v>
      </c>
      <c r="AZ1768" s="124" t="s">
        <v>186</v>
      </c>
    </row>
    <row r="1769" customHeight="1" spans="51:52">
      <c r="AY1769" s="134">
        <v>52183</v>
      </c>
      <c r="AZ1769" s="124" t="s">
        <v>198</v>
      </c>
    </row>
    <row r="1770" customHeight="1" spans="51:52">
      <c r="AY1770" s="134">
        <v>52212</v>
      </c>
      <c r="AZ1770" s="124" t="s">
        <v>233</v>
      </c>
    </row>
    <row r="1771" customHeight="1" spans="51:52">
      <c r="AY1771" s="134">
        <v>52242</v>
      </c>
      <c r="AZ1771" s="124" t="s">
        <v>56</v>
      </c>
    </row>
    <row r="1772" customHeight="1" spans="51:52">
      <c r="AY1772" s="134">
        <v>52272</v>
      </c>
      <c r="AZ1772" s="124" t="s">
        <v>77</v>
      </c>
    </row>
    <row r="1773" customHeight="1" spans="51:52">
      <c r="AY1773" s="134">
        <v>52301</v>
      </c>
      <c r="AZ1773" s="124" t="s">
        <v>63</v>
      </c>
    </row>
    <row r="1774" customHeight="1" spans="51:52">
      <c r="AY1774" s="134">
        <v>52331</v>
      </c>
      <c r="AZ1774" s="124" t="s">
        <v>83</v>
      </c>
    </row>
    <row r="1775" customHeight="1" spans="51:52">
      <c r="AY1775" s="134">
        <v>52360</v>
      </c>
      <c r="AZ1775" s="124" t="s">
        <v>101</v>
      </c>
    </row>
    <row r="1776" customHeight="1" spans="51:52">
      <c r="AY1776" s="134">
        <v>52389</v>
      </c>
      <c r="AZ1776" s="124" t="s">
        <v>117</v>
      </c>
    </row>
    <row r="1777" customHeight="1" spans="51:52">
      <c r="AY1777" s="134">
        <v>52419</v>
      </c>
      <c r="AZ1777" s="124" t="s">
        <v>136</v>
      </c>
    </row>
    <row r="1778" customHeight="1" spans="51:52">
      <c r="AY1778" s="134">
        <v>52448</v>
      </c>
      <c r="AZ1778" s="124" t="s">
        <v>155</v>
      </c>
    </row>
    <row r="1779" customHeight="1" spans="51:52">
      <c r="AY1779" s="134">
        <v>52477</v>
      </c>
      <c r="AZ1779" s="124" t="s">
        <v>174</v>
      </c>
    </row>
    <row r="1780" customHeight="1" spans="51:52">
      <c r="AY1780" s="134">
        <v>52507</v>
      </c>
      <c r="AZ1780" s="124" t="s">
        <v>186</v>
      </c>
    </row>
    <row r="1781" customHeight="1" spans="51:52">
      <c r="AY1781" s="134">
        <v>52537</v>
      </c>
      <c r="AZ1781" s="124" t="s">
        <v>198</v>
      </c>
    </row>
    <row r="1782" customHeight="1" spans="51:52">
      <c r="AY1782" s="134">
        <v>52566</v>
      </c>
      <c r="AZ1782" s="124" t="s">
        <v>233</v>
      </c>
    </row>
    <row r="1783" customHeight="1" spans="51:52">
      <c r="AY1783" s="134">
        <v>52596</v>
      </c>
      <c r="AZ1783" s="124" t="s">
        <v>56</v>
      </c>
    </row>
    <row r="1784" customHeight="1" spans="51:52">
      <c r="AY1784" s="134">
        <v>52626</v>
      </c>
      <c r="AZ1784" s="124" t="s">
        <v>77</v>
      </c>
    </row>
    <row r="1785" customHeight="1" spans="51:52">
      <c r="AY1785" s="134">
        <v>52656</v>
      </c>
      <c r="AZ1785" s="124" t="s">
        <v>63</v>
      </c>
    </row>
    <row r="1786" customHeight="1" spans="51:52">
      <c r="AY1786" s="134">
        <v>52685</v>
      </c>
      <c r="AZ1786" s="124" t="s">
        <v>83</v>
      </c>
    </row>
    <row r="1787" customHeight="1" spans="51:52">
      <c r="AY1787" s="134">
        <v>52715</v>
      </c>
      <c r="AZ1787" s="124" t="s">
        <v>101</v>
      </c>
    </row>
    <row r="1788" customHeight="1" spans="51:52">
      <c r="AY1788" s="134">
        <v>52744</v>
      </c>
      <c r="AZ1788" s="124" t="s">
        <v>117</v>
      </c>
    </row>
    <row r="1789" customHeight="1" spans="51:52">
      <c r="AY1789" s="134">
        <v>52773</v>
      </c>
      <c r="AZ1789" s="124" t="s">
        <v>136</v>
      </c>
    </row>
    <row r="1790" customHeight="1" spans="51:52">
      <c r="AY1790" s="134">
        <v>52803</v>
      </c>
      <c r="AZ1790" s="124" t="s">
        <v>155</v>
      </c>
    </row>
    <row r="1791" customHeight="1" spans="51:52">
      <c r="AY1791" s="134">
        <v>52832</v>
      </c>
      <c r="AZ1791" s="124" t="s">
        <v>403</v>
      </c>
    </row>
    <row r="1792" customHeight="1" spans="51:52">
      <c r="AY1792" s="134">
        <v>52861</v>
      </c>
      <c r="AZ1792" s="124" t="s">
        <v>174</v>
      </c>
    </row>
    <row r="1793" customHeight="1" spans="51:52">
      <c r="AY1793" s="134">
        <v>52891</v>
      </c>
      <c r="AZ1793" s="124" t="s">
        <v>186</v>
      </c>
    </row>
    <row r="1794" customHeight="1" spans="51:52">
      <c r="AY1794" s="134">
        <v>52920</v>
      </c>
      <c r="AZ1794" s="124" t="s">
        <v>198</v>
      </c>
    </row>
    <row r="1795" customHeight="1" spans="51:52">
      <c r="AY1795" s="134">
        <v>52950</v>
      </c>
      <c r="AZ1795" s="124" t="s">
        <v>233</v>
      </c>
    </row>
    <row r="1796" customHeight="1" spans="51:52">
      <c r="AY1796" s="134">
        <v>52980</v>
      </c>
      <c r="AZ1796" s="124" t="s">
        <v>56</v>
      </c>
    </row>
    <row r="1797" customHeight="1" spans="51:52">
      <c r="AY1797" s="134">
        <v>53010</v>
      </c>
      <c r="AZ1797" s="124" t="s">
        <v>77</v>
      </c>
    </row>
    <row r="1798" customHeight="1" spans="51:52">
      <c r="AY1798" s="134">
        <v>53040</v>
      </c>
      <c r="AZ1798" s="124" t="s">
        <v>63</v>
      </c>
    </row>
    <row r="1799" customHeight="1" spans="51:52">
      <c r="AY1799" s="134">
        <v>53069</v>
      </c>
      <c r="AZ1799" s="124" t="s">
        <v>83</v>
      </c>
    </row>
    <row r="1800" customHeight="1" spans="51:52">
      <c r="AY1800" s="134">
        <v>53099</v>
      </c>
      <c r="AZ1800" s="124" t="s">
        <v>101</v>
      </c>
    </row>
    <row r="1801" customHeight="1" spans="51:52">
      <c r="AY1801" s="134">
        <v>53128</v>
      </c>
      <c r="AZ1801" s="124" t="s">
        <v>117</v>
      </c>
    </row>
    <row r="1802" customHeight="1" spans="51:52">
      <c r="AY1802" s="134">
        <v>53157</v>
      </c>
      <c r="AZ1802" s="124" t="s">
        <v>136</v>
      </c>
    </row>
    <row r="1803" customHeight="1" spans="51:52">
      <c r="AY1803" s="134">
        <v>53187</v>
      </c>
      <c r="AZ1803" s="124" t="s">
        <v>155</v>
      </c>
    </row>
    <row r="1804" customHeight="1" spans="51:52">
      <c r="AY1804" s="134">
        <v>53216</v>
      </c>
      <c r="AZ1804" s="124" t="s">
        <v>174</v>
      </c>
    </row>
    <row r="1805" customHeight="1" spans="51:52">
      <c r="AY1805" s="134">
        <v>53245</v>
      </c>
      <c r="AZ1805" s="124" t="s">
        <v>186</v>
      </c>
    </row>
    <row r="1806" customHeight="1" spans="51:52">
      <c r="AY1806" s="134">
        <v>53275</v>
      </c>
      <c r="AZ1806" s="124" t="s">
        <v>198</v>
      </c>
    </row>
    <row r="1807" customHeight="1" spans="51:52">
      <c r="AY1807" s="134">
        <v>53304</v>
      </c>
      <c r="AZ1807" s="124" t="s">
        <v>233</v>
      </c>
    </row>
    <row r="1808" customHeight="1" spans="51:52">
      <c r="AY1808" s="134">
        <v>53334</v>
      </c>
      <c r="AZ1808" s="124" t="s">
        <v>56</v>
      </c>
    </row>
    <row r="1809" customHeight="1" spans="51:52">
      <c r="AY1809" s="134">
        <v>53364</v>
      </c>
      <c r="AZ1809" s="124" t="s">
        <v>77</v>
      </c>
    </row>
    <row r="1810" customHeight="1" spans="51:52">
      <c r="AY1810" s="134">
        <v>53394</v>
      </c>
      <c r="AZ1810" s="124" t="s">
        <v>63</v>
      </c>
    </row>
    <row r="1811" customHeight="1" spans="51:52">
      <c r="AY1811" s="134">
        <v>53423</v>
      </c>
      <c r="AZ1811" s="124" t="s">
        <v>83</v>
      </c>
    </row>
    <row r="1812" customHeight="1" spans="51:52">
      <c r="AY1812" s="134">
        <v>53453</v>
      </c>
      <c r="AZ1812" s="124" t="s">
        <v>101</v>
      </c>
    </row>
    <row r="1813" customHeight="1" spans="51:52">
      <c r="AY1813" s="134">
        <v>53482</v>
      </c>
      <c r="AZ1813" s="124" t="s">
        <v>117</v>
      </c>
    </row>
    <row r="1814" customHeight="1" spans="51:52">
      <c r="AY1814" s="134">
        <v>53512</v>
      </c>
      <c r="AZ1814" s="124" t="s">
        <v>136</v>
      </c>
    </row>
    <row r="1815" customHeight="1" spans="51:52">
      <c r="AY1815" s="134">
        <v>53541</v>
      </c>
      <c r="AZ1815" s="124" t="s">
        <v>155</v>
      </c>
    </row>
    <row r="1816" customHeight="1" spans="51:52">
      <c r="AY1816" s="134">
        <v>53571</v>
      </c>
      <c r="AZ1816" s="124" t="s">
        <v>174</v>
      </c>
    </row>
    <row r="1817" customHeight="1" spans="51:52">
      <c r="AY1817" s="134">
        <v>53600</v>
      </c>
      <c r="AZ1817" s="124" t="s">
        <v>186</v>
      </c>
    </row>
    <row r="1818" customHeight="1" spans="51:52">
      <c r="AY1818" s="134">
        <v>53629</v>
      </c>
      <c r="AZ1818" s="124" t="s">
        <v>198</v>
      </c>
    </row>
    <row r="1819" customHeight="1" spans="51:52">
      <c r="AY1819" s="134">
        <v>53659</v>
      </c>
      <c r="AZ1819" s="124" t="s">
        <v>233</v>
      </c>
    </row>
    <row r="1820" customHeight="1" spans="51:52">
      <c r="AY1820" s="134">
        <v>53688</v>
      </c>
      <c r="AZ1820" s="124" t="s">
        <v>56</v>
      </c>
    </row>
    <row r="1821" customHeight="1" spans="51:52">
      <c r="AY1821" s="134">
        <v>53718</v>
      </c>
      <c r="AZ1821" s="124" t="s">
        <v>77</v>
      </c>
    </row>
    <row r="1822" customHeight="1" spans="51:52">
      <c r="AY1822" s="134">
        <v>53748</v>
      </c>
      <c r="AZ1822" s="124" t="s">
        <v>63</v>
      </c>
    </row>
    <row r="1823" customHeight="1" spans="51:52">
      <c r="AY1823" s="134">
        <v>53777</v>
      </c>
      <c r="AZ1823" s="124" t="s">
        <v>83</v>
      </c>
    </row>
    <row r="1824" customHeight="1" spans="51:52">
      <c r="AY1824" s="134">
        <v>53807</v>
      </c>
      <c r="AZ1824" s="124" t="s">
        <v>101</v>
      </c>
    </row>
    <row r="1825" customHeight="1" spans="51:52">
      <c r="AY1825" s="134">
        <v>53837</v>
      </c>
      <c r="AZ1825" s="124" t="s">
        <v>117</v>
      </c>
    </row>
    <row r="1826" customHeight="1" spans="51:52">
      <c r="AY1826" s="134">
        <v>53866</v>
      </c>
      <c r="AZ1826" s="124" t="s">
        <v>323</v>
      </c>
    </row>
    <row r="1827" customHeight="1" spans="51:52">
      <c r="AY1827" s="134">
        <v>53896</v>
      </c>
      <c r="AZ1827" s="124" t="s">
        <v>136</v>
      </c>
    </row>
    <row r="1828" customHeight="1" spans="51:52">
      <c r="AY1828" s="134">
        <v>53925</v>
      </c>
      <c r="AZ1828" s="124" t="s">
        <v>155</v>
      </c>
    </row>
    <row r="1829" customHeight="1" spans="51:52">
      <c r="AY1829" s="134">
        <v>53955</v>
      </c>
      <c r="AZ1829" s="124" t="s">
        <v>174</v>
      </c>
    </row>
    <row r="1830" customHeight="1" spans="51:52">
      <c r="AY1830" s="134">
        <v>53984</v>
      </c>
      <c r="AZ1830" s="124" t="s">
        <v>186</v>
      </c>
    </row>
    <row r="1831" customHeight="1" spans="51:52">
      <c r="AY1831" s="134">
        <v>54013</v>
      </c>
      <c r="AZ1831" s="124" t="s">
        <v>198</v>
      </c>
    </row>
    <row r="1832" customHeight="1" spans="51:52">
      <c r="AY1832" s="134">
        <v>54043</v>
      </c>
      <c r="AZ1832" s="124" t="s">
        <v>233</v>
      </c>
    </row>
    <row r="1833" customHeight="1" spans="51:52">
      <c r="AY1833" s="134">
        <v>54072</v>
      </c>
      <c r="AZ1833" s="124" t="s">
        <v>56</v>
      </c>
    </row>
    <row r="1834" customHeight="1" spans="51:52">
      <c r="AY1834" s="134">
        <v>54102</v>
      </c>
      <c r="AZ1834" s="124" t="s">
        <v>77</v>
      </c>
    </row>
    <row r="1835" customHeight="1" spans="51:52">
      <c r="AY1835" s="134">
        <v>54131</v>
      </c>
      <c r="AZ1835" s="124" t="s">
        <v>63</v>
      </c>
    </row>
    <row r="1836" customHeight="1" spans="51:52">
      <c r="AY1836" s="134">
        <v>54161</v>
      </c>
      <c r="AZ1836" s="124" t="s">
        <v>83</v>
      </c>
    </row>
    <row r="1837" customHeight="1" spans="51:52">
      <c r="AY1837" s="134">
        <v>54191</v>
      </c>
      <c r="AZ1837" s="124" t="s">
        <v>101</v>
      </c>
    </row>
    <row r="1838" customHeight="1" spans="51:52">
      <c r="AY1838" s="134">
        <v>54220</v>
      </c>
      <c r="AZ1838" s="124" t="s">
        <v>117</v>
      </c>
    </row>
    <row r="1839" customHeight="1" spans="51:52">
      <c r="AY1839" s="134">
        <v>54250</v>
      </c>
      <c r="AZ1839" s="124" t="s">
        <v>136</v>
      </c>
    </row>
    <row r="1840" customHeight="1" spans="51:52">
      <c r="AY1840" s="134">
        <v>54280</v>
      </c>
      <c r="AZ1840" s="124" t="s">
        <v>155</v>
      </c>
    </row>
    <row r="1841" customHeight="1" spans="51:52">
      <c r="AY1841" s="134">
        <v>54309</v>
      </c>
      <c r="AZ1841" s="124" t="s">
        <v>174</v>
      </c>
    </row>
    <row r="1842" customHeight="1" spans="51:52">
      <c r="AY1842" s="134">
        <v>54339</v>
      </c>
      <c r="AZ1842" s="124" t="s">
        <v>186</v>
      </c>
    </row>
    <row r="1843" customHeight="1" spans="51:52">
      <c r="AY1843" s="134">
        <v>54368</v>
      </c>
      <c r="AZ1843" s="124" t="s">
        <v>198</v>
      </c>
    </row>
    <row r="1844" customHeight="1" spans="51:52">
      <c r="AY1844" s="134">
        <v>54397</v>
      </c>
      <c r="AZ1844" s="124" t="s">
        <v>233</v>
      </c>
    </row>
    <row r="1845" customHeight="1" spans="51:52">
      <c r="AY1845" s="134">
        <v>54427</v>
      </c>
      <c r="AZ1845" s="124" t="s">
        <v>56</v>
      </c>
    </row>
    <row r="1846" customHeight="1" spans="51:52">
      <c r="AY1846" s="134">
        <v>54456</v>
      </c>
      <c r="AZ1846" s="124" t="s">
        <v>77</v>
      </c>
    </row>
    <row r="1847" customHeight="1" spans="51:52">
      <c r="AY1847" s="134">
        <v>54486</v>
      </c>
      <c r="AZ1847" s="124" t="s">
        <v>63</v>
      </c>
    </row>
    <row r="1848" customHeight="1" spans="51:52">
      <c r="AY1848" s="134">
        <v>54515</v>
      </c>
      <c r="AZ1848" s="124" t="s">
        <v>83</v>
      </c>
    </row>
    <row r="1849" customHeight="1" spans="51:52">
      <c r="AY1849" s="134">
        <v>54545</v>
      </c>
      <c r="AZ1849" s="124" t="s">
        <v>101</v>
      </c>
    </row>
    <row r="1850" customHeight="1" spans="51:52">
      <c r="AY1850" s="134">
        <v>54574</v>
      </c>
      <c r="AZ1850" s="124" t="s">
        <v>117</v>
      </c>
    </row>
    <row r="1851" customHeight="1" spans="51:52">
      <c r="AY1851" s="134">
        <v>54604</v>
      </c>
      <c r="AZ1851" s="124" t="s">
        <v>136</v>
      </c>
    </row>
    <row r="1852" customHeight="1" spans="51:52">
      <c r="AY1852" s="134">
        <v>54634</v>
      </c>
      <c r="AZ1852" s="124" t="s">
        <v>155</v>
      </c>
    </row>
    <row r="1853" customHeight="1" spans="51:52">
      <c r="AY1853" s="134">
        <v>54663</v>
      </c>
      <c r="AZ1853" s="124" t="s">
        <v>174</v>
      </c>
    </row>
    <row r="1854" customHeight="1" spans="51:52">
      <c r="AY1854" s="134">
        <v>54693</v>
      </c>
      <c r="AZ1854" s="124" t="s">
        <v>186</v>
      </c>
    </row>
    <row r="1855" customHeight="1" spans="51:52">
      <c r="AY1855" s="134">
        <v>54723</v>
      </c>
      <c r="AZ1855" s="124" t="s">
        <v>198</v>
      </c>
    </row>
    <row r="1856" customHeight="1" spans="51:52">
      <c r="AY1856" s="134">
        <v>54752</v>
      </c>
      <c r="AZ1856" s="124" t="s">
        <v>233</v>
      </c>
    </row>
    <row r="1857" customHeight="1" spans="51:52">
      <c r="AY1857" s="134">
        <v>54782</v>
      </c>
      <c r="AZ1857" s="124" t="s">
        <v>56</v>
      </c>
    </row>
    <row r="1858" customHeight="1" spans="51:52">
      <c r="AY1858" s="134">
        <v>54811</v>
      </c>
      <c r="AZ1858" s="124" t="s">
        <v>77</v>
      </c>
    </row>
    <row r="1859" customHeight="1" spans="51:52">
      <c r="AY1859" s="134">
        <v>54840</v>
      </c>
      <c r="AZ1859" s="124" t="s">
        <v>63</v>
      </c>
    </row>
    <row r="1860" customHeight="1" spans="51:52">
      <c r="AY1860" s="134">
        <v>54870</v>
      </c>
      <c r="AZ1860" s="124" t="s">
        <v>83</v>
      </c>
    </row>
    <row r="1861" customHeight="1" spans="51:52">
      <c r="AY1861" s="134">
        <v>54899</v>
      </c>
      <c r="AZ1861" s="124" t="s">
        <v>404</v>
      </c>
    </row>
    <row r="1862" customHeight="1" spans="51:52">
      <c r="AY1862" s="134">
        <v>54929</v>
      </c>
      <c r="AZ1862" s="124" t="s">
        <v>101</v>
      </c>
    </row>
    <row r="1863" customHeight="1" spans="51:52">
      <c r="AY1863" s="134">
        <v>54958</v>
      </c>
      <c r="AZ1863" s="124" t="s">
        <v>117</v>
      </c>
    </row>
    <row r="1864" customHeight="1" spans="51:52">
      <c r="AY1864" s="134">
        <v>54988</v>
      </c>
      <c r="AZ1864" s="124" t="s">
        <v>136</v>
      </c>
    </row>
    <row r="1865" customHeight="1" spans="51:52">
      <c r="AY1865" s="134">
        <v>55017</v>
      </c>
      <c r="AZ1865" s="124" t="s">
        <v>155</v>
      </c>
    </row>
    <row r="1866" customHeight="1" spans="51:52">
      <c r="AY1866" s="134">
        <v>55047</v>
      </c>
      <c r="AZ1866" s="124" t="s">
        <v>174</v>
      </c>
    </row>
    <row r="1867" customHeight="1" spans="51:52">
      <c r="AY1867" s="134">
        <v>55077</v>
      </c>
      <c r="AZ1867" s="124" t="s">
        <v>186</v>
      </c>
    </row>
    <row r="1868" customHeight="1" spans="51:52">
      <c r="AY1868" s="134">
        <v>55106</v>
      </c>
      <c r="AZ1868" s="124" t="s">
        <v>198</v>
      </c>
    </row>
    <row r="1869" customHeight="1" spans="51:52">
      <c r="AY1869" s="134">
        <v>55136</v>
      </c>
      <c r="AZ1869" s="124" t="s">
        <v>233</v>
      </c>
    </row>
    <row r="1870" customHeight="1" spans="51:52">
      <c r="AY1870" s="134">
        <v>55166</v>
      </c>
      <c r="AZ1870" s="124" t="s">
        <v>56</v>
      </c>
    </row>
    <row r="1871" customHeight="1" spans="51:52">
      <c r="AY1871" s="134">
        <v>55195</v>
      </c>
      <c r="AZ1871" s="124" t="s">
        <v>77</v>
      </c>
    </row>
    <row r="1872" customHeight="1" spans="51:52">
      <c r="AY1872" s="134">
        <v>55225</v>
      </c>
      <c r="AZ1872" s="124" t="s">
        <v>63</v>
      </c>
    </row>
    <row r="1873" customHeight="1" spans="51:52">
      <c r="AY1873" s="134">
        <v>55254</v>
      </c>
      <c r="AZ1873" s="124" t="s">
        <v>83</v>
      </c>
    </row>
    <row r="1874" customHeight="1" spans="51:52">
      <c r="AY1874" s="134">
        <v>55283</v>
      </c>
      <c r="AZ1874" s="124" t="s">
        <v>101</v>
      </c>
    </row>
    <row r="1875" customHeight="1" spans="51:52">
      <c r="AY1875" s="134">
        <v>55313</v>
      </c>
      <c r="AZ1875" s="124" t="s">
        <v>117</v>
      </c>
    </row>
    <row r="1876" customHeight="1" spans="51:52">
      <c r="AY1876" s="134">
        <v>55342</v>
      </c>
      <c r="AZ1876" s="124" t="s">
        <v>136</v>
      </c>
    </row>
    <row r="1877" customHeight="1" spans="51:52">
      <c r="AY1877" s="134">
        <v>55371</v>
      </c>
      <c r="AZ1877" s="124" t="s">
        <v>155</v>
      </c>
    </row>
    <row r="1878" customHeight="1" spans="51:52">
      <c r="AY1878" s="134">
        <v>55401</v>
      </c>
      <c r="AZ1878" s="124" t="s">
        <v>174</v>
      </c>
    </row>
    <row r="1879" customHeight="1" spans="51:52">
      <c r="AY1879" s="134">
        <v>55431</v>
      </c>
      <c r="AZ1879" s="124" t="s">
        <v>186</v>
      </c>
    </row>
    <row r="1880" customHeight="1" spans="51:52">
      <c r="AY1880" s="134">
        <v>55460</v>
      </c>
      <c r="AZ1880" s="124" t="s">
        <v>198</v>
      </c>
    </row>
    <row r="1881" customHeight="1" spans="51:52">
      <c r="AY1881" s="134">
        <v>55490</v>
      </c>
      <c r="AZ1881" s="124" t="s">
        <v>233</v>
      </c>
    </row>
    <row r="1882" customHeight="1" spans="51:52">
      <c r="AY1882" s="134">
        <v>55520</v>
      </c>
      <c r="AZ1882" s="124" t="s">
        <v>56</v>
      </c>
    </row>
    <row r="1883" customHeight="1" spans="51:52">
      <c r="AY1883" s="134">
        <v>55550</v>
      </c>
      <c r="AZ1883" s="124" t="s">
        <v>77</v>
      </c>
    </row>
    <row r="1884" customHeight="1" spans="51:52">
      <c r="AY1884" s="134">
        <v>55579</v>
      </c>
      <c r="AZ1884" s="124" t="s">
        <v>63</v>
      </c>
    </row>
    <row r="1885" customHeight="1" spans="51:52">
      <c r="AY1885" s="134">
        <v>55609</v>
      </c>
      <c r="AZ1885" s="124" t="s">
        <v>83</v>
      </c>
    </row>
    <row r="1886" customHeight="1" spans="51:52">
      <c r="AY1886" s="134">
        <v>55638</v>
      </c>
      <c r="AZ1886" s="124" t="s">
        <v>101</v>
      </c>
    </row>
    <row r="1887" customHeight="1" spans="51:52">
      <c r="AY1887" s="134">
        <v>55667</v>
      </c>
      <c r="AZ1887" s="124" t="s">
        <v>117</v>
      </c>
    </row>
    <row r="1888" customHeight="1" spans="51:52">
      <c r="AY1888" s="134">
        <v>55697</v>
      </c>
      <c r="AZ1888" s="124" t="s">
        <v>136</v>
      </c>
    </row>
    <row r="1889" customHeight="1" spans="51:52">
      <c r="AY1889" s="134">
        <v>55726</v>
      </c>
      <c r="AZ1889" s="124" t="s">
        <v>155</v>
      </c>
    </row>
    <row r="1890" customHeight="1" spans="51:52">
      <c r="AY1890" s="134">
        <v>55755</v>
      </c>
      <c r="AZ1890" s="124" t="s">
        <v>174</v>
      </c>
    </row>
    <row r="1891" customHeight="1" spans="51:52">
      <c r="AY1891" s="134">
        <v>55785</v>
      </c>
      <c r="AZ1891" s="124" t="s">
        <v>206</v>
      </c>
    </row>
    <row r="1892" customHeight="1" spans="51:52">
      <c r="AY1892" s="134">
        <v>55814</v>
      </c>
      <c r="AZ1892" s="124" t="s">
        <v>186</v>
      </c>
    </row>
    <row r="1893" customHeight="1" spans="51:52">
      <c r="AY1893" s="134">
        <v>55844</v>
      </c>
      <c r="AZ1893" s="124" t="s">
        <v>198</v>
      </c>
    </row>
    <row r="1894" customHeight="1" spans="51:52">
      <c r="AY1894" s="134">
        <v>55874</v>
      </c>
      <c r="AZ1894" s="124" t="s">
        <v>233</v>
      </c>
    </row>
    <row r="1895" customHeight="1" spans="51:52">
      <c r="AY1895" s="134">
        <v>55904</v>
      </c>
      <c r="AZ1895" s="124" t="s">
        <v>56</v>
      </c>
    </row>
    <row r="1896" customHeight="1" spans="51:52">
      <c r="AY1896" s="134">
        <v>55934</v>
      </c>
      <c r="AZ1896" s="124" t="s">
        <v>77</v>
      </c>
    </row>
    <row r="1897" customHeight="1" spans="51:52">
      <c r="AY1897" s="134">
        <v>55963</v>
      </c>
      <c r="AZ1897" s="124" t="s">
        <v>63</v>
      </c>
    </row>
    <row r="1898" customHeight="1" spans="51:52">
      <c r="AY1898" s="134">
        <v>55993</v>
      </c>
      <c r="AZ1898" s="124" t="s">
        <v>83</v>
      </c>
    </row>
    <row r="1899" customHeight="1" spans="51:52">
      <c r="AY1899" s="134">
        <v>56022</v>
      </c>
      <c r="AZ1899" s="124" t="s">
        <v>101</v>
      </c>
    </row>
    <row r="1900" customHeight="1" spans="51:52">
      <c r="AY1900" s="134">
        <v>56051</v>
      </c>
      <c r="AZ1900" s="124" t="s">
        <v>117</v>
      </c>
    </row>
    <row r="1901" customHeight="1" spans="51:52">
      <c r="AY1901" s="134">
        <v>56081</v>
      </c>
      <c r="AZ1901" s="124" t="s">
        <v>136</v>
      </c>
    </row>
    <row r="1902" customHeight="1" spans="51:52">
      <c r="AY1902" s="134">
        <v>56110</v>
      </c>
      <c r="AZ1902" s="124" t="s">
        <v>155</v>
      </c>
    </row>
    <row r="1903" customHeight="1" spans="51:52">
      <c r="AY1903" s="134">
        <v>56139</v>
      </c>
      <c r="AZ1903" s="124" t="s">
        <v>174</v>
      </c>
    </row>
    <row r="1904" customHeight="1" spans="51:52">
      <c r="AY1904" s="134">
        <v>56169</v>
      </c>
      <c r="AZ1904" s="124" t="s">
        <v>186</v>
      </c>
    </row>
    <row r="1905" customHeight="1" spans="51:52">
      <c r="AY1905" s="134">
        <v>56198</v>
      </c>
      <c r="AZ1905" s="124" t="s">
        <v>198</v>
      </c>
    </row>
    <row r="1906" customHeight="1" spans="51:52">
      <c r="AY1906" s="134">
        <v>56228</v>
      </c>
      <c r="AZ1906" s="124" t="s">
        <v>233</v>
      </c>
    </row>
    <row r="1907" customHeight="1" spans="51:52">
      <c r="AY1907" s="134">
        <v>56258</v>
      </c>
      <c r="AZ1907" s="124" t="s">
        <v>56</v>
      </c>
    </row>
    <row r="1908" customHeight="1" spans="51:52">
      <c r="AY1908" s="134">
        <v>56288</v>
      </c>
      <c r="AZ1908" s="124" t="s">
        <v>77</v>
      </c>
    </row>
    <row r="1909" customHeight="1" spans="51:52">
      <c r="AY1909" s="134">
        <v>56317</v>
      </c>
      <c r="AZ1909" s="124" t="s">
        <v>63</v>
      </c>
    </row>
    <row r="1910" customHeight="1" spans="51:52">
      <c r="AY1910" s="134">
        <v>56347</v>
      </c>
      <c r="AZ1910" s="124" t="s">
        <v>83</v>
      </c>
    </row>
    <row r="1911" customHeight="1" spans="51:52">
      <c r="AY1911" s="134">
        <v>56377</v>
      </c>
      <c r="AZ1911" s="124" t="s">
        <v>101</v>
      </c>
    </row>
    <row r="1912" customHeight="1" spans="51:52">
      <c r="AY1912" s="134">
        <v>56406</v>
      </c>
      <c r="AZ1912" s="124" t="s">
        <v>117</v>
      </c>
    </row>
    <row r="1913" customHeight="1" spans="51:52">
      <c r="AY1913" s="134">
        <v>56435</v>
      </c>
      <c r="AZ1913" s="124" t="s">
        <v>136</v>
      </c>
    </row>
    <row r="1914" customHeight="1" spans="51:52">
      <c r="AY1914" s="134">
        <v>56465</v>
      </c>
      <c r="AZ1914" s="124" t="s">
        <v>155</v>
      </c>
    </row>
    <row r="1915" customHeight="1" spans="51:52">
      <c r="AY1915" s="134">
        <v>56494</v>
      </c>
      <c r="AZ1915" s="124" t="s">
        <v>174</v>
      </c>
    </row>
    <row r="1916" customHeight="1" spans="51:52">
      <c r="AY1916" s="134">
        <v>56523</v>
      </c>
      <c r="AZ1916" s="124" t="s">
        <v>186</v>
      </c>
    </row>
    <row r="1917" customHeight="1" spans="51:52">
      <c r="AY1917" s="134">
        <v>56553</v>
      </c>
      <c r="AZ1917" s="124" t="s">
        <v>198</v>
      </c>
    </row>
    <row r="1918" customHeight="1" spans="51:52">
      <c r="AY1918" s="134">
        <v>56582</v>
      </c>
      <c r="AZ1918" s="124" t="s">
        <v>233</v>
      </c>
    </row>
    <row r="1919" customHeight="1" spans="51:52">
      <c r="AY1919" s="134">
        <v>56612</v>
      </c>
      <c r="AZ1919" s="124" t="s">
        <v>56</v>
      </c>
    </row>
    <row r="1920" customHeight="1" spans="51:52">
      <c r="AY1920" s="134">
        <v>56642</v>
      </c>
      <c r="AZ1920" s="124" t="s">
        <v>77</v>
      </c>
    </row>
    <row r="1921" customHeight="1" spans="51:52">
      <c r="AY1921" s="134">
        <v>56671</v>
      </c>
      <c r="AZ1921" s="124" t="s">
        <v>63</v>
      </c>
    </row>
    <row r="1922" customHeight="1" spans="51:52">
      <c r="AY1922" s="134">
        <v>56701</v>
      </c>
      <c r="AZ1922" s="124" t="s">
        <v>83</v>
      </c>
    </row>
    <row r="1923" customHeight="1" spans="51:52">
      <c r="AY1923" s="134">
        <v>56731</v>
      </c>
      <c r="AZ1923" s="124" t="s">
        <v>101</v>
      </c>
    </row>
    <row r="1924" customHeight="1" spans="51:52">
      <c r="AY1924" s="134">
        <v>56760</v>
      </c>
      <c r="AZ1924" s="124" t="s">
        <v>117</v>
      </c>
    </row>
    <row r="1925" customHeight="1" spans="51:52">
      <c r="AY1925" s="134">
        <v>56790</v>
      </c>
      <c r="AZ1925" s="124" t="s">
        <v>136</v>
      </c>
    </row>
    <row r="1926" customHeight="1" spans="51:52">
      <c r="AY1926" s="134">
        <v>56819</v>
      </c>
      <c r="AZ1926" s="124" t="s">
        <v>392</v>
      </c>
    </row>
    <row r="1927" customHeight="1" spans="51:52">
      <c r="AY1927" s="134">
        <v>56849</v>
      </c>
      <c r="AZ1927" s="124" t="s">
        <v>155</v>
      </c>
    </row>
    <row r="1928" customHeight="1" spans="51:52">
      <c r="AY1928" s="134">
        <v>56878</v>
      </c>
      <c r="AZ1928" s="124" t="s">
        <v>174</v>
      </c>
    </row>
    <row r="1929" customHeight="1" spans="51:52">
      <c r="AY1929" s="134">
        <v>56907</v>
      </c>
      <c r="AZ1929" s="124" t="s">
        <v>186</v>
      </c>
    </row>
    <row r="1930" customHeight="1" spans="51:52">
      <c r="AY1930" s="134">
        <v>56937</v>
      </c>
      <c r="AZ1930" s="124" t="s">
        <v>198</v>
      </c>
    </row>
    <row r="1931" customHeight="1" spans="51:52">
      <c r="AY1931" s="134">
        <v>56966</v>
      </c>
      <c r="AZ1931" s="124" t="s">
        <v>233</v>
      </c>
    </row>
    <row r="1932" customHeight="1" spans="51:52">
      <c r="AY1932" s="134">
        <v>56996</v>
      </c>
      <c r="AZ1932" s="124" t="s">
        <v>56</v>
      </c>
    </row>
    <row r="1933" customHeight="1" spans="51:52">
      <c r="AY1933" s="134">
        <v>57025</v>
      </c>
      <c r="AZ1933" s="124" t="s">
        <v>77</v>
      </c>
    </row>
    <row r="1934" customHeight="1" spans="51:52">
      <c r="AY1934" s="134">
        <v>57055</v>
      </c>
      <c r="AZ1934" s="124" t="s">
        <v>63</v>
      </c>
    </row>
    <row r="1935" customHeight="1" spans="51:52">
      <c r="AY1935" s="134">
        <v>57085</v>
      </c>
      <c r="AZ1935" s="124" t="s">
        <v>83</v>
      </c>
    </row>
    <row r="1936" customHeight="1" spans="51:52">
      <c r="AY1936" s="134">
        <v>57115</v>
      </c>
      <c r="AZ1936" s="124" t="s">
        <v>101</v>
      </c>
    </row>
    <row r="1937" customHeight="1" spans="51:52">
      <c r="AY1937" s="134">
        <v>57144</v>
      </c>
      <c r="AZ1937" s="124" t="s">
        <v>117</v>
      </c>
    </row>
    <row r="1938" customHeight="1" spans="51:52">
      <c r="AY1938" s="134">
        <v>57174</v>
      </c>
      <c r="AZ1938" s="124" t="s">
        <v>136</v>
      </c>
    </row>
    <row r="1939" customHeight="1" spans="51:52">
      <c r="AY1939" s="134">
        <v>57203</v>
      </c>
      <c r="AZ1939" s="124" t="s">
        <v>155</v>
      </c>
    </row>
    <row r="1940" customHeight="1" spans="51:52">
      <c r="AY1940" s="134">
        <v>57233</v>
      </c>
      <c r="AZ1940" s="124" t="s">
        <v>174</v>
      </c>
    </row>
    <row r="1941" customHeight="1" spans="51:52">
      <c r="AY1941" s="134">
        <v>57262</v>
      </c>
      <c r="AZ1941" s="124" t="s">
        <v>186</v>
      </c>
    </row>
    <row r="1942" customHeight="1" spans="51:52">
      <c r="AY1942" s="134">
        <v>57291</v>
      </c>
      <c r="AZ1942" s="124" t="s">
        <v>198</v>
      </c>
    </row>
    <row r="1943" customHeight="1" spans="51:52">
      <c r="AY1943" s="134">
        <v>57321</v>
      </c>
      <c r="AZ1943" s="124" t="s">
        <v>233</v>
      </c>
    </row>
    <row r="1944" customHeight="1" spans="51:52">
      <c r="AY1944" s="134">
        <v>57350</v>
      </c>
      <c r="AZ1944" s="124" t="s">
        <v>56</v>
      </c>
    </row>
    <row r="1945" customHeight="1" spans="51:52">
      <c r="AY1945" s="134">
        <v>57380</v>
      </c>
      <c r="AZ1945" s="124" t="s">
        <v>77</v>
      </c>
    </row>
    <row r="1946" customHeight="1" spans="51:52">
      <c r="AY1946" s="134">
        <v>57409</v>
      </c>
      <c r="AZ1946" s="124" t="s">
        <v>63</v>
      </c>
    </row>
    <row r="1947" customHeight="1" spans="51:52">
      <c r="AY1947" s="134">
        <v>57439</v>
      </c>
      <c r="AZ1947" s="124" t="s">
        <v>83</v>
      </c>
    </row>
    <row r="1948" customHeight="1" spans="51:52">
      <c r="AY1948" s="134">
        <v>57469</v>
      </c>
      <c r="AZ1948" s="124" t="s">
        <v>101</v>
      </c>
    </row>
    <row r="1949" customHeight="1" spans="51:52">
      <c r="AY1949" s="134">
        <v>57498</v>
      </c>
      <c r="AZ1949" s="124" t="s">
        <v>117</v>
      </c>
    </row>
    <row r="1950" customHeight="1" spans="51:52">
      <c r="AY1950" s="134">
        <v>57528</v>
      </c>
      <c r="AZ1950" s="124" t="s">
        <v>136</v>
      </c>
    </row>
    <row r="1951" customHeight="1" spans="51:52">
      <c r="AY1951" s="134">
        <v>57557</v>
      </c>
      <c r="AZ1951" s="124" t="s">
        <v>155</v>
      </c>
    </row>
    <row r="1952" customHeight="1" spans="51:52">
      <c r="AY1952" s="134">
        <v>57587</v>
      </c>
      <c r="AZ1952" s="124" t="s">
        <v>174</v>
      </c>
    </row>
    <row r="1953" customHeight="1" spans="51:52">
      <c r="AY1953" s="134">
        <v>57616</v>
      </c>
      <c r="AZ1953" s="124" t="s">
        <v>186</v>
      </c>
    </row>
    <row r="1954" customHeight="1" spans="51:52">
      <c r="AY1954" s="134">
        <v>57646</v>
      </c>
      <c r="AZ1954" s="124" t="s">
        <v>198</v>
      </c>
    </row>
    <row r="1955" customHeight="1" spans="51:52">
      <c r="AY1955" s="134">
        <v>57675</v>
      </c>
      <c r="AZ1955" s="124" t="s">
        <v>233</v>
      </c>
    </row>
    <row r="1956" customHeight="1" spans="51:52">
      <c r="AY1956" s="134">
        <v>57705</v>
      </c>
      <c r="AZ1956" s="124" t="s">
        <v>56</v>
      </c>
    </row>
    <row r="1957" customHeight="1" spans="51:52">
      <c r="AY1957" s="134">
        <v>57734</v>
      </c>
      <c r="AZ1957" s="124" t="s">
        <v>77</v>
      </c>
    </row>
    <row r="1958" customHeight="1" spans="51:52">
      <c r="AY1958" s="134">
        <v>57764</v>
      </c>
      <c r="AZ1958" s="124" t="s">
        <v>63</v>
      </c>
    </row>
    <row r="1959" customHeight="1" spans="51:52">
      <c r="AY1959" s="134">
        <v>57793</v>
      </c>
      <c r="AZ1959" s="124" t="s">
        <v>83</v>
      </c>
    </row>
    <row r="1960" customHeight="1" spans="51:52">
      <c r="AY1960" s="134">
        <v>57823</v>
      </c>
      <c r="AZ1960" s="124" t="s">
        <v>101</v>
      </c>
    </row>
    <row r="1961" customHeight="1" spans="51:52">
      <c r="AY1961" s="134">
        <v>57852</v>
      </c>
      <c r="AZ1961" s="124" t="s">
        <v>384</v>
      </c>
    </row>
    <row r="1962" customHeight="1" spans="51:52">
      <c r="AY1962" s="134">
        <v>57882</v>
      </c>
      <c r="AZ1962" s="124" t="s">
        <v>117</v>
      </c>
    </row>
    <row r="1963" customHeight="1" spans="51:52">
      <c r="AY1963" s="134">
        <v>57911</v>
      </c>
      <c r="AZ1963" s="124" t="s">
        <v>136</v>
      </c>
    </row>
    <row r="1964" customHeight="1" spans="51:52">
      <c r="AY1964" s="134">
        <v>57941</v>
      </c>
      <c r="AZ1964" s="124" t="s">
        <v>155</v>
      </c>
    </row>
    <row r="1965" customHeight="1" spans="51:52">
      <c r="AY1965" s="134">
        <v>57971</v>
      </c>
      <c r="AZ1965" s="124" t="s">
        <v>174</v>
      </c>
    </row>
    <row r="1966" customHeight="1" spans="51:52">
      <c r="AY1966" s="134">
        <v>58000</v>
      </c>
      <c r="AZ1966" s="124" t="s">
        <v>186</v>
      </c>
    </row>
    <row r="1967" customHeight="1" spans="51:52">
      <c r="AY1967" s="134">
        <v>58030</v>
      </c>
      <c r="AZ1967" s="124" t="s">
        <v>198</v>
      </c>
    </row>
    <row r="1968" customHeight="1" spans="51:52">
      <c r="AY1968" s="134">
        <v>58060</v>
      </c>
      <c r="AZ1968" s="124" t="s">
        <v>233</v>
      </c>
    </row>
    <row r="1969" customHeight="1" spans="51:52">
      <c r="AY1969" s="134">
        <v>58089</v>
      </c>
      <c r="AZ1969" s="124" t="s">
        <v>56</v>
      </c>
    </row>
    <row r="1970" customHeight="1" spans="51:52">
      <c r="AY1970" s="134">
        <v>58118</v>
      </c>
      <c r="AZ1970" s="124" t="s">
        <v>77</v>
      </c>
    </row>
    <row r="1971" customHeight="1" spans="51:52">
      <c r="AY1971" s="134">
        <v>58148</v>
      </c>
      <c r="AZ1971" s="124" t="s">
        <v>63</v>
      </c>
    </row>
    <row r="1972" customHeight="1" spans="51:52">
      <c r="AY1972" s="134">
        <v>58177</v>
      </c>
      <c r="AZ1972" s="124" t="s">
        <v>83</v>
      </c>
    </row>
    <row r="1973" customHeight="1" spans="51:52">
      <c r="AY1973" s="134">
        <v>58207</v>
      </c>
      <c r="AZ1973" s="124" t="s">
        <v>101</v>
      </c>
    </row>
    <row r="1974" customHeight="1" spans="51:52">
      <c r="AY1974" s="134">
        <v>58236</v>
      </c>
      <c r="AZ1974" s="124" t="s">
        <v>117</v>
      </c>
    </row>
    <row r="1975" customHeight="1" spans="51:52">
      <c r="AY1975" s="134">
        <v>58266</v>
      </c>
      <c r="AZ1975" s="124" t="s">
        <v>136</v>
      </c>
    </row>
    <row r="1976" customHeight="1" spans="51:52">
      <c r="AY1976" s="134">
        <v>58295</v>
      </c>
      <c r="AZ1976" s="124" t="s">
        <v>155</v>
      </c>
    </row>
    <row r="1977" customHeight="1" spans="51:52">
      <c r="AY1977" s="134">
        <v>58325</v>
      </c>
      <c r="AZ1977" s="124" t="s">
        <v>174</v>
      </c>
    </row>
    <row r="1978" customHeight="1" spans="51:52">
      <c r="AY1978" s="134">
        <v>58354</v>
      </c>
      <c r="AZ1978" s="124" t="s">
        <v>186</v>
      </c>
    </row>
    <row r="1979" customHeight="1" spans="51:52">
      <c r="AY1979" s="134">
        <v>58384</v>
      </c>
      <c r="AZ1979" s="124" t="s">
        <v>198</v>
      </c>
    </row>
    <row r="1980" customHeight="1" spans="51:52">
      <c r="AY1980" s="134">
        <v>58414</v>
      </c>
      <c r="AZ1980" s="124" t="s">
        <v>233</v>
      </c>
    </row>
    <row r="1981" customHeight="1" spans="51:52">
      <c r="AY1981" s="134">
        <v>58444</v>
      </c>
      <c r="AZ1981" s="124" t="s">
        <v>56</v>
      </c>
    </row>
    <row r="1982" customHeight="1" spans="51:52">
      <c r="AY1982" s="134">
        <v>58473</v>
      </c>
      <c r="AZ1982" s="124" t="s">
        <v>77</v>
      </c>
    </row>
    <row r="1983" customHeight="1" spans="51:52">
      <c r="AY1983" s="134">
        <v>58503</v>
      </c>
      <c r="AZ1983" s="124" t="s">
        <v>63</v>
      </c>
    </row>
    <row r="1984" customHeight="1" spans="51:52">
      <c r="AY1984" s="134">
        <v>58532</v>
      </c>
      <c r="AZ1984" s="124" t="s">
        <v>83</v>
      </c>
    </row>
    <row r="1985" customHeight="1" spans="51:52">
      <c r="AY1985" s="134">
        <v>58561</v>
      </c>
      <c r="AZ1985" s="124" t="s">
        <v>101</v>
      </c>
    </row>
    <row r="1986" customHeight="1" spans="51:52">
      <c r="AY1986" s="134">
        <v>58591</v>
      </c>
      <c r="AZ1986" s="124" t="s">
        <v>117</v>
      </c>
    </row>
    <row r="1987" customHeight="1" spans="51:52">
      <c r="AY1987" s="134">
        <v>58620</v>
      </c>
      <c r="AZ1987" s="124" t="s">
        <v>136</v>
      </c>
    </row>
    <row r="1988" customHeight="1" spans="51:52">
      <c r="AY1988" s="134">
        <v>58649</v>
      </c>
      <c r="AZ1988" s="124" t="s">
        <v>155</v>
      </c>
    </row>
    <row r="1989" customHeight="1" spans="51:52">
      <c r="AY1989" s="134">
        <v>58679</v>
      </c>
      <c r="AZ1989" s="124" t="s">
        <v>174</v>
      </c>
    </row>
    <row r="1990" customHeight="1" spans="51:52">
      <c r="AY1990" s="134">
        <v>58708</v>
      </c>
      <c r="AZ1990" s="124" t="s">
        <v>186</v>
      </c>
    </row>
    <row r="1991" customHeight="1" spans="51:52">
      <c r="AY1991" s="134">
        <v>58738</v>
      </c>
      <c r="AZ1991" s="124" t="s">
        <v>198</v>
      </c>
    </row>
    <row r="1992" customHeight="1" spans="51:52">
      <c r="AY1992" s="134">
        <v>58768</v>
      </c>
      <c r="AZ1992" s="124" t="s">
        <v>233</v>
      </c>
    </row>
    <row r="1993" customHeight="1" spans="51:52">
      <c r="AY1993" s="134">
        <v>58798</v>
      </c>
      <c r="AZ1993" s="124" t="s">
        <v>56</v>
      </c>
    </row>
    <row r="1994" customHeight="1" spans="51:52">
      <c r="AY1994" s="134">
        <v>58827</v>
      </c>
      <c r="AZ1994" s="124" t="s">
        <v>77</v>
      </c>
    </row>
    <row r="1995" customHeight="1" spans="51:52">
      <c r="AY1995" s="134">
        <v>58857</v>
      </c>
      <c r="AZ1995" s="124" t="s">
        <v>63</v>
      </c>
    </row>
    <row r="1996" customHeight="1" spans="51:52">
      <c r="AY1996" s="134">
        <v>58887</v>
      </c>
      <c r="AZ1996" s="124" t="s">
        <v>83</v>
      </c>
    </row>
    <row r="1997" customHeight="1" spans="51:52">
      <c r="AY1997" s="134">
        <v>58916</v>
      </c>
      <c r="AZ1997" s="124" t="s">
        <v>404</v>
      </c>
    </row>
    <row r="1998" customHeight="1" spans="51:52">
      <c r="AY1998" s="134">
        <v>58945</v>
      </c>
      <c r="AZ1998" s="124" t="s">
        <v>101</v>
      </c>
    </row>
    <row r="1999" customHeight="1" spans="51:52">
      <c r="AY1999" s="134">
        <v>58975</v>
      </c>
      <c r="AZ1999" s="124" t="s">
        <v>117</v>
      </c>
    </row>
    <row r="2000" customHeight="1" spans="51:52">
      <c r="AY2000" s="134">
        <v>59004</v>
      </c>
      <c r="AZ2000" s="124" t="s">
        <v>136</v>
      </c>
    </row>
    <row r="2001" customHeight="1" spans="51:52">
      <c r="AY2001" s="134">
        <v>59033</v>
      </c>
      <c r="AZ2001" s="124" t="s">
        <v>155</v>
      </c>
    </row>
    <row r="2002" customHeight="1" spans="51:52">
      <c r="AY2002" s="134">
        <v>59063</v>
      </c>
      <c r="AZ2002" s="124" t="s">
        <v>174</v>
      </c>
    </row>
    <row r="2003" customHeight="1" spans="51:52">
      <c r="AY2003" s="134">
        <v>59092</v>
      </c>
      <c r="AZ2003" s="124" t="s">
        <v>186</v>
      </c>
    </row>
    <row r="2004" customHeight="1" spans="51:52">
      <c r="AY2004" s="134">
        <v>59122</v>
      </c>
      <c r="AZ2004" s="124" t="s">
        <v>198</v>
      </c>
    </row>
    <row r="2005" customHeight="1" spans="51:52">
      <c r="AY2005" s="134">
        <v>59152</v>
      </c>
      <c r="AZ2005" s="124" t="s">
        <v>233</v>
      </c>
    </row>
    <row r="2006" customHeight="1" spans="51:52">
      <c r="AY2006" s="134">
        <v>59182</v>
      </c>
      <c r="AZ2006" s="124" t="s">
        <v>56</v>
      </c>
    </row>
    <row r="2007" customHeight="1" spans="51:52">
      <c r="AY2007" s="134">
        <v>59211</v>
      </c>
      <c r="AZ2007" s="124" t="s">
        <v>77</v>
      </c>
    </row>
    <row r="2008" customHeight="1" spans="51:52">
      <c r="AY2008" s="134">
        <v>59241</v>
      </c>
      <c r="AZ2008" s="124" t="s">
        <v>63</v>
      </c>
    </row>
    <row r="2009" customHeight="1" spans="51:52">
      <c r="AY2009" s="134">
        <v>59271</v>
      </c>
      <c r="AZ2009" s="124" t="s">
        <v>83</v>
      </c>
    </row>
    <row r="2010" customHeight="1" spans="51:52">
      <c r="AY2010" s="134">
        <v>59300</v>
      </c>
      <c r="AZ2010" s="124" t="s">
        <v>101</v>
      </c>
    </row>
    <row r="2011" customHeight="1" spans="51:52">
      <c r="AY2011" s="134">
        <v>59329</v>
      </c>
      <c r="AZ2011" s="124" t="s">
        <v>117</v>
      </c>
    </row>
    <row r="2012" customHeight="1" spans="51:52">
      <c r="AY2012" s="134">
        <v>59359</v>
      </c>
      <c r="AZ2012" s="124" t="s">
        <v>136</v>
      </c>
    </row>
    <row r="2013" customHeight="1" spans="51:52">
      <c r="AY2013" s="134">
        <v>59388</v>
      </c>
      <c r="AZ2013" s="124" t="s">
        <v>155</v>
      </c>
    </row>
    <row r="2014" customHeight="1" spans="51:52">
      <c r="AY2014" s="134">
        <v>59417</v>
      </c>
      <c r="AZ2014" s="124" t="s">
        <v>174</v>
      </c>
    </row>
    <row r="2015" customHeight="1" spans="51:52">
      <c r="AY2015" s="134">
        <v>59447</v>
      </c>
      <c r="AZ2015" s="124" t="s">
        <v>186</v>
      </c>
    </row>
    <row r="2016" customHeight="1" spans="51:52">
      <c r="AY2016" s="134">
        <v>59476</v>
      </c>
      <c r="AZ2016" s="124" t="s">
        <v>198</v>
      </c>
    </row>
    <row r="2017" customHeight="1" spans="51:52">
      <c r="AY2017" s="134">
        <v>59506</v>
      </c>
      <c r="AZ2017" s="124" t="s">
        <v>233</v>
      </c>
    </row>
    <row r="2018" customHeight="1" spans="51:52">
      <c r="AY2018" s="134">
        <v>59536</v>
      </c>
      <c r="AZ2018" s="124" t="s">
        <v>56</v>
      </c>
    </row>
    <row r="2019" customHeight="1" spans="51:52">
      <c r="AY2019" s="134">
        <v>59565</v>
      </c>
      <c r="AZ2019" s="124" t="s">
        <v>77</v>
      </c>
    </row>
    <row r="2020" customHeight="1" spans="51:52">
      <c r="AY2020" s="134">
        <v>59595</v>
      </c>
      <c r="AZ2020" s="124" t="s">
        <v>63</v>
      </c>
    </row>
    <row r="2021" customHeight="1" spans="51:52">
      <c r="AY2021" s="134">
        <v>59625</v>
      </c>
      <c r="AZ2021" s="124" t="s">
        <v>83</v>
      </c>
    </row>
    <row r="2022" customHeight="1" spans="51:52">
      <c r="AY2022" s="134">
        <v>59654</v>
      </c>
      <c r="AZ2022" s="124" t="s">
        <v>101</v>
      </c>
    </row>
    <row r="2023" customHeight="1" spans="51:52">
      <c r="AY2023" s="134">
        <v>59684</v>
      </c>
      <c r="AZ2023" s="124" t="s">
        <v>117</v>
      </c>
    </row>
    <row r="2024" customHeight="1" spans="51:52">
      <c r="AY2024" s="134">
        <v>59713</v>
      </c>
      <c r="AZ2024" s="124" t="s">
        <v>136</v>
      </c>
    </row>
    <row r="2025" customHeight="1" spans="51:52">
      <c r="AY2025" s="134">
        <v>59743</v>
      </c>
      <c r="AZ2025" s="124" t="s">
        <v>155</v>
      </c>
    </row>
    <row r="2026" customHeight="1" spans="51:52">
      <c r="AY2026" s="134">
        <v>59772</v>
      </c>
      <c r="AZ2026" s="124" t="s">
        <v>403</v>
      </c>
    </row>
    <row r="2027" customHeight="1" spans="51:52">
      <c r="AY2027" s="134">
        <v>59801</v>
      </c>
      <c r="AZ2027" s="124" t="s">
        <v>174</v>
      </c>
    </row>
    <row r="2028" customHeight="1" spans="51:52">
      <c r="AY2028" s="134">
        <v>59831</v>
      </c>
      <c r="AZ2028" s="124" t="s">
        <v>186</v>
      </c>
    </row>
    <row r="2029" customHeight="1" spans="51:52">
      <c r="AY2029" s="134">
        <v>59860</v>
      </c>
      <c r="AZ2029" s="124" t="s">
        <v>198</v>
      </c>
    </row>
    <row r="2030" customHeight="1" spans="51:52">
      <c r="AY2030" s="134">
        <v>59890</v>
      </c>
      <c r="AZ2030" s="124" t="s">
        <v>233</v>
      </c>
    </row>
    <row r="2031" customHeight="1" spans="51:52">
      <c r="AY2031" s="134">
        <v>59919</v>
      </c>
      <c r="AZ2031" s="124" t="s">
        <v>56</v>
      </c>
    </row>
    <row r="2032" customHeight="1" spans="51:52">
      <c r="AY2032" s="134">
        <v>59949</v>
      </c>
      <c r="AZ2032" s="124" t="s">
        <v>77</v>
      </c>
    </row>
    <row r="2033" customHeight="1" spans="51:52">
      <c r="AY2033" s="134">
        <v>59979</v>
      </c>
      <c r="AZ2033" s="124" t="s">
        <v>63</v>
      </c>
    </row>
    <row r="2034" customHeight="1" spans="51:52">
      <c r="AY2034" s="134">
        <v>60009</v>
      </c>
      <c r="AZ2034" s="124" t="s">
        <v>83</v>
      </c>
    </row>
    <row r="2035" customHeight="1" spans="51:52">
      <c r="AY2035" s="134">
        <v>60038</v>
      </c>
      <c r="AZ2035" s="124" t="s">
        <v>101</v>
      </c>
    </row>
    <row r="2036" customHeight="1" spans="51:52">
      <c r="AY2036" s="134">
        <v>60068</v>
      </c>
      <c r="AZ2036" s="124" t="s">
        <v>117</v>
      </c>
    </row>
    <row r="2037" customHeight="1" spans="51:52">
      <c r="AY2037" s="134">
        <v>60097</v>
      </c>
      <c r="AZ2037" s="124" t="s">
        <v>136</v>
      </c>
    </row>
    <row r="2038" customHeight="1" spans="51:52">
      <c r="AY2038" s="134">
        <v>60127</v>
      </c>
      <c r="AZ2038" s="124" t="s">
        <v>155</v>
      </c>
    </row>
    <row r="2039" customHeight="1" spans="51:52">
      <c r="AY2039" s="134">
        <v>60156</v>
      </c>
      <c r="AZ2039" s="124" t="s">
        <v>174</v>
      </c>
    </row>
    <row r="2040" customHeight="1" spans="51:52">
      <c r="AY2040" s="134">
        <v>60185</v>
      </c>
      <c r="AZ2040" s="124" t="s">
        <v>186</v>
      </c>
    </row>
    <row r="2041" customHeight="1" spans="51:52">
      <c r="AY2041" s="134">
        <v>60215</v>
      </c>
      <c r="AZ2041" s="124" t="s">
        <v>198</v>
      </c>
    </row>
    <row r="2042" customHeight="1" spans="51:52">
      <c r="AY2042" s="134">
        <v>60244</v>
      </c>
      <c r="AZ2042" s="124" t="s">
        <v>233</v>
      </c>
    </row>
    <row r="2043" customHeight="1" spans="51:52">
      <c r="AY2043" s="134">
        <v>60274</v>
      </c>
      <c r="AZ2043" s="124" t="s">
        <v>56</v>
      </c>
    </row>
    <row r="2044" customHeight="1" spans="51:52">
      <c r="AY2044" s="134">
        <v>60303</v>
      </c>
      <c r="AZ2044" s="124" t="s">
        <v>77</v>
      </c>
    </row>
    <row r="2045" customHeight="1" spans="51:52">
      <c r="AY2045" s="134">
        <v>60333</v>
      </c>
      <c r="AZ2045" s="124" t="s">
        <v>63</v>
      </c>
    </row>
    <row r="2046" customHeight="1" spans="51:52">
      <c r="AY2046" s="134">
        <v>60363</v>
      </c>
      <c r="AZ2046" s="124" t="s">
        <v>83</v>
      </c>
    </row>
    <row r="2047" customHeight="1" spans="51:52">
      <c r="AY2047" s="134">
        <v>60392</v>
      </c>
      <c r="AZ2047" s="124" t="s">
        <v>101</v>
      </c>
    </row>
    <row r="2048" customHeight="1" spans="51:52">
      <c r="AY2048" s="134">
        <v>60422</v>
      </c>
      <c r="AZ2048" s="124" t="s">
        <v>117</v>
      </c>
    </row>
    <row r="2049" customHeight="1" spans="51:52">
      <c r="AY2049" s="134">
        <v>60452</v>
      </c>
      <c r="AZ2049" s="124" t="s">
        <v>136</v>
      </c>
    </row>
    <row r="2050" customHeight="1" spans="51:52">
      <c r="AY2050" s="134">
        <v>60481</v>
      </c>
      <c r="AZ2050" s="124" t="s">
        <v>155</v>
      </c>
    </row>
    <row r="2051" customHeight="1" spans="51:52">
      <c r="AY2051" s="134">
        <v>60511</v>
      </c>
      <c r="AZ2051" s="124" t="s">
        <v>174</v>
      </c>
    </row>
    <row r="2052" customHeight="1" spans="51:52">
      <c r="AY2052" s="134">
        <v>60540</v>
      </c>
      <c r="AZ2052" s="124" t="s">
        <v>186</v>
      </c>
    </row>
    <row r="2053" customHeight="1" spans="51:52">
      <c r="AY2053" s="134">
        <v>60569</v>
      </c>
      <c r="AZ2053" s="124" t="s">
        <v>198</v>
      </c>
    </row>
    <row r="2054" customHeight="1" spans="51:52">
      <c r="AY2054" s="134">
        <v>60599</v>
      </c>
      <c r="AZ2054" s="124" t="s">
        <v>233</v>
      </c>
    </row>
    <row r="2055" customHeight="1" spans="51:52">
      <c r="AY2055" s="134">
        <v>60628</v>
      </c>
      <c r="AZ2055" s="124" t="s">
        <v>56</v>
      </c>
    </row>
    <row r="2056" customHeight="1" spans="51:52">
      <c r="AY2056" s="134">
        <v>60658</v>
      </c>
      <c r="AZ2056" s="124" t="s">
        <v>77</v>
      </c>
    </row>
    <row r="2057" customHeight="1" spans="51:52">
      <c r="AY2057" s="134">
        <v>60687</v>
      </c>
      <c r="AZ2057" s="124" t="s">
        <v>63</v>
      </c>
    </row>
    <row r="2058" customHeight="1" spans="51:52">
      <c r="AY2058" s="134">
        <v>60717</v>
      </c>
      <c r="AZ2058" s="124" t="s">
        <v>83</v>
      </c>
    </row>
    <row r="2059" customHeight="1" spans="51:52">
      <c r="AY2059" s="134">
        <v>60746</v>
      </c>
      <c r="AZ2059" s="124" t="s">
        <v>101</v>
      </c>
    </row>
    <row r="2060" customHeight="1" spans="51:52">
      <c r="AY2060" s="134">
        <v>60776</v>
      </c>
      <c r="AZ2060" s="124" t="s">
        <v>117</v>
      </c>
    </row>
    <row r="2061" customHeight="1" spans="51:52">
      <c r="AY2061" s="134">
        <v>60806</v>
      </c>
      <c r="AZ2061" s="124" t="s">
        <v>323</v>
      </c>
    </row>
    <row r="2062" customHeight="1" spans="51:52">
      <c r="AY2062" s="134">
        <v>60835</v>
      </c>
      <c r="AZ2062" s="124" t="s">
        <v>136</v>
      </c>
    </row>
    <row r="2063" customHeight="1" spans="51:52">
      <c r="AY2063" s="134">
        <v>60865</v>
      </c>
      <c r="AZ2063" s="124" t="s">
        <v>155</v>
      </c>
    </row>
    <row r="2064" customHeight="1" spans="51:52">
      <c r="AY2064" s="134">
        <v>60894</v>
      </c>
      <c r="AZ2064" s="124" t="s">
        <v>174</v>
      </c>
    </row>
    <row r="2065" customHeight="1" spans="51:52">
      <c r="AY2065" s="134">
        <v>60924</v>
      </c>
      <c r="AZ2065" s="124" t="s">
        <v>186</v>
      </c>
    </row>
    <row r="2066" customHeight="1" spans="51:52">
      <c r="AY2066" s="134">
        <v>60953</v>
      </c>
      <c r="AZ2066" s="124" t="s">
        <v>198</v>
      </c>
    </row>
    <row r="2067" customHeight="1" spans="51:52">
      <c r="AY2067" s="134">
        <v>60983</v>
      </c>
      <c r="AZ2067" s="124" t="s">
        <v>233</v>
      </c>
    </row>
    <row r="2068" customHeight="1" spans="51:52">
      <c r="AY2068" s="134">
        <v>61012</v>
      </c>
      <c r="AZ2068" s="124" t="s">
        <v>56</v>
      </c>
    </row>
    <row r="2069" customHeight="1" spans="51:52">
      <c r="AY2069" s="134">
        <v>61042</v>
      </c>
      <c r="AZ2069" s="124" t="s">
        <v>77</v>
      </c>
    </row>
    <row r="2070" customHeight="1" spans="51:52">
      <c r="AY2070" s="134">
        <v>61071</v>
      </c>
      <c r="AZ2070" s="124" t="s">
        <v>63</v>
      </c>
    </row>
    <row r="2071" customHeight="1" spans="51:52">
      <c r="AY2071" s="134">
        <v>61101</v>
      </c>
      <c r="AZ2071" s="124" t="s">
        <v>83</v>
      </c>
    </row>
    <row r="2072" customHeight="1" spans="51:52">
      <c r="AY2072" s="134">
        <v>61130</v>
      </c>
      <c r="AZ2072" s="124" t="s">
        <v>101</v>
      </c>
    </row>
    <row r="2073" customHeight="1" spans="51:52">
      <c r="AY2073" s="134">
        <v>61160</v>
      </c>
      <c r="AZ2073" s="124" t="s">
        <v>117</v>
      </c>
    </row>
    <row r="2074" customHeight="1" spans="51:52">
      <c r="AY2074" s="134">
        <v>61189</v>
      </c>
      <c r="AZ2074" s="124" t="s">
        <v>136</v>
      </c>
    </row>
    <row r="2075" customHeight="1" spans="51:52">
      <c r="AY2075" s="134">
        <v>61219</v>
      </c>
      <c r="AZ2075" s="124" t="s">
        <v>155</v>
      </c>
    </row>
    <row r="2076" customHeight="1" spans="51:52">
      <c r="AY2076" s="134">
        <v>61249</v>
      </c>
      <c r="AZ2076" s="124" t="s">
        <v>174</v>
      </c>
    </row>
    <row r="2077" customHeight="1" spans="51:52">
      <c r="AY2077" s="134">
        <v>61278</v>
      </c>
      <c r="AZ2077" s="124" t="s">
        <v>186</v>
      </c>
    </row>
    <row r="2078" customHeight="1" spans="51:52">
      <c r="AY2078" s="134">
        <v>61308</v>
      </c>
      <c r="AZ2078" s="124" t="s">
        <v>198</v>
      </c>
    </row>
    <row r="2079" customHeight="1" spans="51:52">
      <c r="AY2079" s="134">
        <v>61337</v>
      </c>
      <c r="AZ2079" s="124" t="s">
        <v>233</v>
      </c>
    </row>
    <row r="2080" customHeight="1" spans="51:52">
      <c r="AY2080" s="134">
        <v>61367</v>
      </c>
      <c r="AZ2080" s="124" t="s">
        <v>56</v>
      </c>
    </row>
    <row r="2081" customHeight="1" spans="51:52">
      <c r="AY2081" s="134">
        <v>61396</v>
      </c>
      <c r="AZ2081" s="124" t="s">
        <v>77</v>
      </c>
    </row>
    <row r="2082" customHeight="1" spans="51:52">
      <c r="AY2082" s="134">
        <v>61426</v>
      </c>
      <c r="AZ2082" s="124" t="s">
        <v>63</v>
      </c>
    </row>
    <row r="2083" customHeight="1" spans="51:52">
      <c r="AY2083" s="134">
        <v>61455</v>
      </c>
      <c r="AZ2083" s="124" t="s">
        <v>83</v>
      </c>
    </row>
    <row r="2084" customHeight="1" spans="51:52">
      <c r="AY2084" s="134">
        <v>61485</v>
      </c>
      <c r="AZ2084" s="124" t="s">
        <v>101</v>
      </c>
    </row>
    <row r="2085" customHeight="1" spans="51:52">
      <c r="AY2085" s="134">
        <v>61514</v>
      </c>
      <c r="AZ2085" s="124" t="s">
        <v>117</v>
      </c>
    </row>
    <row r="2086" customHeight="1" spans="51:52">
      <c r="AY2086" s="134">
        <v>61543</v>
      </c>
      <c r="AZ2086" s="124" t="s">
        <v>136</v>
      </c>
    </row>
    <row r="2087" customHeight="1" spans="51:52">
      <c r="AY2087" s="134">
        <v>61573</v>
      </c>
      <c r="AZ2087" s="124" t="s">
        <v>155</v>
      </c>
    </row>
    <row r="2088" customHeight="1" spans="51:52">
      <c r="AY2088" s="134">
        <v>61603</v>
      </c>
      <c r="AZ2088" s="124" t="s">
        <v>174</v>
      </c>
    </row>
    <row r="2089" customHeight="1" spans="51:52">
      <c r="AY2089" s="134">
        <v>61632</v>
      </c>
      <c r="AZ2089" s="124" t="s">
        <v>186</v>
      </c>
    </row>
    <row r="2090" customHeight="1" spans="51:52">
      <c r="AY2090" s="134">
        <v>61662</v>
      </c>
      <c r="AZ2090" s="124" t="s">
        <v>198</v>
      </c>
    </row>
    <row r="2091" customHeight="1" spans="51:52">
      <c r="AY2091" s="134">
        <v>61692</v>
      </c>
      <c r="AZ2091" s="124" t="s">
        <v>233</v>
      </c>
    </row>
    <row r="2092" customHeight="1" spans="51:52">
      <c r="AY2092" s="134">
        <v>61721</v>
      </c>
      <c r="AZ2092" s="124" t="s">
        <v>56</v>
      </c>
    </row>
    <row r="2093" customHeight="1" spans="51:52">
      <c r="AY2093" s="134">
        <v>61751</v>
      </c>
      <c r="AZ2093" s="124" t="s">
        <v>77</v>
      </c>
    </row>
    <row r="2094" customHeight="1" spans="51:52">
      <c r="AY2094" s="134">
        <v>61780</v>
      </c>
      <c r="AZ2094" s="124" t="s">
        <v>63</v>
      </c>
    </row>
    <row r="2095" customHeight="1" spans="51:52">
      <c r="AY2095" s="134">
        <v>61810</v>
      </c>
      <c r="AZ2095" s="124" t="s">
        <v>83</v>
      </c>
    </row>
    <row r="2096" customHeight="1" spans="51:52">
      <c r="AY2096" s="134">
        <v>61839</v>
      </c>
      <c r="AZ2096" s="124" t="s">
        <v>101</v>
      </c>
    </row>
    <row r="2097" customHeight="1" spans="51:52">
      <c r="AY2097" s="134">
        <v>61869</v>
      </c>
      <c r="AZ2097" s="124" t="s">
        <v>384</v>
      </c>
    </row>
    <row r="2098" customHeight="1" spans="51:52">
      <c r="AY2098" s="134">
        <v>61898</v>
      </c>
      <c r="AZ2098" s="124" t="s">
        <v>117</v>
      </c>
    </row>
    <row r="2099" customHeight="1" spans="51:52">
      <c r="AY2099" s="134">
        <v>61927</v>
      </c>
      <c r="AZ2099" s="124" t="s">
        <v>136</v>
      </c>
    </row>
    <row r="2100" customHeight="1" spans="51:52">
      <c r="AY2100" s="134">
        <v>61957</v>
      </c>
      <c r="AZ2100" s="124" t="s">
        <v>155</v>
      </c>
    </row>
    <row r="2101" customHeight="1" spans="51:52">
      <c r="AY2101" s="134">
        <v>61986</v>
      </c>
      <c r="AZ2101" s="124" t="s">
        <v>174</v>
      </c>
    </row>
    <row r="2102" customHeight="1" spans="51:52">
      <c r="AY2102" s="134">
        <v>62016</v>
      </c>
      <c r="AZ2102" s="124" t="s">
        <v>186</v>
      </c>
    </row>
    <row r="2103" customHeight="1" spans="51:52">
      <c r="AY2103" s="134">
        <v>62046</v>
      </c>
      <c r="AZ2103" s="124" t="s">
        <v>198</v>
      </c>
    </row>
    <row r="2104" customHeight="1" spans="51:52">
      <c r="AY2104" s="134">
        <v>62076</v>
      </c>
      <c r="AZ2104" s="124" t="s">
        <v>233</v>
      </c>
    </row>
    <row r="2105" customHeight="1" spans="51:52">
      <c r="AY2105" s="134">
        <v>62105</v>
      </c>
      <c r="AZ2105" s="124" t="s">
        <v>56</v>
      </c>
    </row>
    <row r="2106" customHeight="1" spans="51:52">
      <c r="AY2106" s="134">
        <v>62135</v>
      </c>
      <c r="AZ2106" s="124" t="s">
        <v>77</v>
      </c>
    </row>
    <row r="2107" customHeight="1" spans="51:52">
      <c r="AY2107" s="134">
        <v>62164</v>
      </c>
      <c r="AZ2107" s="124" t="s">
        <v>63</v>
      </c>
    </row>
    <row r="2108" customHeight="1" spans="51:52">
      <c r="AY2108" s="134">
        <v>62194</v>
      </c>
      <c r="AZ2108" s="124" t="s">
        <v>83</v>
      </c>
    </row>
    <row r="2109" customHeight="1" spans="51:52">
      <c r="AY2109" s="134">
        <v>62223</v>
      </c>
      <c r="AZ2109" s="124" t="s">
        <v>101</v>
      </c>
    </row>
    <row r="2110" customHeight="1" spans="51:52">
      <c r="AY2110" s="134">
        <v>62253</v>
      </c>
      <c r="AZ2110" s="124" t="s">
        <v>117</v>
      </c>
    </row>
    <row r="2111" customHeight="1" spans="51:52">
      <c r="AY2111" s="134">
        <v>62282</v>
      </c>
      <c r="AZ2111" s="124" t="s">
        <v>136</v>
      </c>
    </row>
    <row r="2112" customHeight="1" spans="51:52">
      <c r="AY2112" s="134">
        <v>62311</v>
      </c>
      <c r="AZ2112" s="124" t="s">
        <v>155</v>
      </c>
    </row>
    <row r="2113" customHeight="1" spans="51:52">
      <c r="AY2113" s="134">
        <v>62341</v>
      </c>
      <c r="AZ2113" s="124" t="s">
        <v>174</v>
      </c>
    </row>
    <row r="2114" customHeight="1" spans="51:52">
      <c r="AY2114" s="134">
        <v>62370</v>
      </c>
      <c r="AZ2114" s="124" t="s">
        <v>186</v>
      </c>
    </row>
    <row r="2115" customHeight="1" spans="51:52">
      <c r="AY2115" s="134">
        <v>62400</v>
      </c>
      <c r="AZ2115" s="124" t="s">
        <v>198</v>
      </c>
    </row>
    <row r="2116" customHeight="1" spans="51:52">
      <c r="AY2116" s="134">
        <v>62430</v>
      </c>
      <c r="AZ2116" s="124" t="s">
        <v>233</v>
      </c>
    </row>
    <row r="2117" customHeight="1" spans="51:52">
      <c r="AY2117" s="134">
        <v>62459</v>
      </c>
      <c r="AZ2117" s="124" t="s">
        <v>56</v>
      </c>
    </row>
    <row r="2118" customHeight="1" spans="51:52">
      <c r="AY2118" s="134">
        <v>62489</v>
      </c>
      <c r="AZ2118" s="124" t="s">
        <v>77</v>
      </c>
    </row>
    <row r="2119" customHeight="1" spans="51:52">
      <c r="AY2119" s="134">
        <v>62519</v>
      </c>
      <c r="AZ2119" s="124" t="s">
        <v>63</v>
      </c>
    </row>
    <row r="2120" customHeight="1" spans="51:52">
      <c r="AY2120" s="134">
        <v>62548</v>
      </c>
      <c r="AZ2120" s="124" t="s">
        <v>83</v>
      </c>
    </row>
    <row r="2121" customHeight="1" spans="51:52">
      <c r="AY2121" s="134">
        <v>62578</v>
      </c>
      <c r="AZ2121" s="124" t="s">
        <v>101</v>
      </c>
    </row>
    <row r="2122" customHeight="1" spans="51:52">
      <c r="AY2122" s="134">
        <v>62607</v>
      </c>
      <c r="AZ2122" s="124" t="s">
        <v>117</v>
      </c>
    </row>
    <row r="2123" customHeight="1" spans="51:52">
      <c r="AY2123" s="134">
        <v>62637</v>
      </c>
      <c r="AZ2123" s="124" t="s">
        <v>136</v>
      </c>
    </row>
    <row r="2124" customHeight="1" spans="51:52">
      <c r="AY2124" s="134">
        <v>62666</v>
      </c>
      <c r="AZ2124" s="124" t="s">
        <v>155</v>
      </c>
    </row>
    <row r="2125" customHeight="1" spans="51:52">
      <c r="AY2125" s="134">
        <v>62695</v>
      </c>
      <c r="AZ2125" s="124" t="s">
        <v>174</v>
      </c>
    </row>
    <row r="2126" customHeight="1" spans="51:52">
      <c r="AY2126" s="134">
        <v>62725</v>
      </c>
      <c r="AZ2126" s="124" t="s">
        <v>206</v>
      </c>
    </row>
    <row r="2127" customHeight="1" spans="51:52">
      <c r="AY2127" s="134">
        <v>62754</v>
      </c>
      <c r="AZ2127" s="124" t="s">
        <v>186</v>
      </c>
    </row>
    <row r="2128" customHeight="1" spans="51:52">
      <c r="AY2128" s="134">
        <v>62784</v>
      </c>
      <c r="AZ2128" s="124" t="s">
        <v>198</v>
      </c>
    </row>
    <row r="2129" customHeight="1" spans="51:52">
      <c r="AY2129" s="134">
        <v>62813</v>
      </c>
      <c r="AZ2129" s="124" t="s">
        <v>233</v>
      </c>
    </row>
    <row r="2130" customHeight="1" spans="51:52">
      <c r="AY2130" s="134">
        <v>62843</v>
      </c>
      <c r="AZ2130" s="124" t="s">
        <v>56</v>
      </c>
    </row>
    <row r="2131" customHeight="1" spans="51:52">
      <c r="AY2131" s="134">
        <v>62873</v>
      </c>
      <c r="AZ2131" s="124" t="s">
        <v>77</v>
      </c>
    </row>
    <row r="2132" customHeight="1" spans="51:52">
      <c r="AY2132" s="134">
        <v>62903</v>
      </c>
      <c r="AZ2132" s="124" t="s">
        <v>63</v>
      </c>
    </row>
    <row r="2133" customHeight="1" spans="51:52">
      <c r="AY2133" s="134">
        <v>62932</v>
      </c>
      <c r="AZ2133" s="124" t="s">
        <v>83</v>
      </c>
    </row>
    <row r="2134" customHeight="1" spans="51:52">
      <c r="AY2134" s="134">
        <v>62962</v>
      </c>
      <c r="AZ2134" s="124" t="s">
        <v>101</v>
      </c>
    </row>
    <row r="2135" customHeight="1" spans="51:52">
      <c r="AY2135" s="134">
        <v>62991</v>
      </c>
      <c r="AZ2135" s="124" t="s">
        <v>117</v>
      </c>
    </row>
    <row r="2136" customHeight="1" spans="51:52">
      <c r="AY2136" s="134">
        <v>63021</v>
      </c>
      <c r="AZ2136" s="124" t="s">
        <v>136</v>
      </c>
    </row>
    <row r="2137" customHeight="1" spans="51:52">
      <c r="AY2137" s="134">
        <v>63050</v>
      </c>
      <c r="AZ2137" s="124" t="s">
        <v>155</v>
      </c>
    </row>
    <row r="2138" customHeight="1" spans="51:52">
      <c r="AY2138" s="134">
        <v>63079</v>
      </c>
      <c r="AZ2138" s="124" t="s">
        <v>174</v>
      </c>
    </row>
    <row r="2139" customHeight="1" spans="51:52">
      <c r="AY2139" s="134">
        <v>63109</v>
      </c>
      <c r="AZ2139" s="124" t="s">
        <v>186</v>
      </c>
    </row>
    <row r="2140" customHeight="1" spans="51:52">
      <c r="AY2140" s="134">
        <v>63138</v>
      </c>
      <c r="AZ2140" s="124" t="s">
        <v>198</v>
      </c>
    </row>
    <row r="2141" customHeight="1" spans="51:52">
      <c r="AY2141" s="134">
        <v>63168</v>
      </c>
      <c r="AZ2141" s="124" t="s">
        <v>233</v>
      </c>
    </row>
    <row r="2142" customHeight="1" spans="51:52">
      <c r="AY2142" s="134">
        <v>63197</v>
      </c>
      <c r="AZ2142" s="124" t="s">
        <v>56</v>
      </c>
    </row>
    <row r="2143" customHeight="1" spans="51:52">
      <c r="AY2143" s="134">
        <v>63227</v>
      </c>
      <c r="AZ2143" s="124" t="s">
        <v>77</v>
      </c>
    </row>
    <row r="2144" customHeight="1" spans="51:52">
      <c r="AY2144" s="134">
        <v>63257</v>
      </c>
      <c r="AZ2144" s="124" t="s">
        <v>63</v>
      </c>
    </row>
    <row r="2145" customHeight="1" spans="51:52">
      <c r="AY2145" s="134">
        <v>63286</v>
      </c>
      <c r="AZ2145" s="124" t="s">
        <v>83</v>
      </c>
    </row>
    <row r="2146" customHeight="1" spans="51:52">
      <c r="AY2146" s="134">
        <v>63316</v>
      </c>
      <c r="AZ2146" s="124" t="s">
        <v>101</v>
      </c>
    </row>
    <row r="2147" customHeight="1" spans="51:52">
      <c r="AY2147" s="134">
        <v>63346</v>
      </c>
      <c r="AZ2147" s="124" t="s">
        <v>117</v>
      </c>
    </row>
    <row r="2148" customHeight="1" spans="51:52">
      <c r="AY2148" s="134">
        <v>63375</v>
      </c>
      <c r="AZ2148" s="124" t="s">
        <v>136</v>
      </c>
    </row>
    <row r="2149" customHeight="1" spans="51:52">
      <c r="AY2149" s="134">
        <v>63405</v>
      </c>
      <c r="AZ2149" s="124" t="s">
        <v>155</v>
      </c>
    </row>
    <row r="2150" customHeight="1" spans="51:52">
      <c r="AY2150" s="134">
        <v>63434</v>
      </c>
      <c r="AZ2150" s="124" t="s">
        <v>174</v>
      </c>
    </row>
    <row r="2151" customHeight="1" spans="51:52">
      <c r="AY2151" s="134">
        <v>63463</v>
      </c>
      <c r="AZ2151" s="124" t="s">
        <v>186</v>
      </c>
    </row>
    <row r="2152" customHeight="1" spans="51:52">
      <c r="AY2152" s="134">
        <v>63493</v>
      </c>
      <c r="AZ2152" s="124" t="s">
        <v>198</v>
      </c>
    </row>
    <row r="2153" customHeight="1" spans="51:52">
      <c r="AY2153" s="134">
        <v>63522</v>
      </c>
      <c r="AZ2153" s="124" t="s">
        <v>233</v>
      </c>
    </row>
    <row r="2154" customHeight="1" spans="51:52">
      <c r="AY2154" s="134">
        <v>63552</v>
      </c>
      <c r="AZ2154" s="124" t="s">
        <v>56</v>
      </c>
    </row>
    <row r="2155" customHeight="1" spans="51:52">
      <c r="AY2155" s="134">
        <v>63581</v>
      </c>
      <c r="AZ2155" s="124" t="s">
        <v>77</v>
      </c>
    </row>
    <row r="2156" customHeight="1" spans="51:52">
      <c r="AY2156" s="134">
        <v>63611</v>
      </c>
      <c r="AZ2156" s="124" t="s">
        <v>63</v>
      </c>
    </row>
    <row r="2157" customHeight="1" spans="51:52">
      <c r="AY2157" s="134">
        <v>63640</v>
      </c>
      <c r="AZ2157" s="124" t="s">
        <v>83</v>
      </c>
    </row>
    <row r="2158" customHeight="1" spans="51:52">
      <c r="AY2158" s="134">
        <v>63670</v>
      </c>
      <c r="AZ2158" s="124" t="s">
        <v>101</v>
      </c>
    </row>
    <row r="2159" customHeight="1" spans="51:52">
      <c r="AY2159" s="134">
        <v>63700</v>
      </c>
      <c r="AZ2159" s="124" t="s">
        <v>117</v>
      </c>
    </row>
    <row r="2160" customHeight="1" spans="51:52">
      <c r="AY2160" s="134">
        <v>63729</v>
      </c>
      <c r="AZ2160" s="124" t="s">
        <v>136</v>
      </c>
    </row>
    <row r="2161" customHeight="1" spans="51:52">
      <c r="AY2161" s="134">
        <v>63759</v>
      </c>
      <c r="AZ2161" s="124" t="s">
        <v>392</v>
      </c>
    </row>
    <row r="2162" customHeight="1" spans="51:52">
      <c r="AY2162" s="134">
        <v>63788</v>
      </c>
      <c r="AZ2162" s="124" t="s">
        <v>155</v>
      </c>
    </row>
    <row r="2163" customHeight="1" spans="51:52">
      <c r="AY2163" s="134">
        <v>63818</v>
      </c>
      <c r="AZ2163" s="124" t="s">
        <v>174</v>
      </c>
    </row>
    <row r="2164" customHeight="1" spans="51:52">
      <c r="AY2164" s="134">
        <v>63847</v>
      </c>
      <c r="AZ2164" s="124" t="s">
        <v>186</v>
      </c>
    </row>
    <row r="2165" customHeight="1" spans="51:52">
      <c r="AY2165" s="134">
        <v>63877</v>
      </c>
      <c r="AZ2165" s="124" t="s">
        <v>198</v>
      </c>
    </row>
    <row r="2166" customHeight="1" spans="51:52">
      <c r="AY2166" s="134">
        <v>63906</v>
      </c>
      <c r="AZ2166" s="124" t="s">
        <v>233</v>
      </c>
    </row>
    <row r="2167" customHeight="1" spans="51:52">
      <c r="AY2167" s="134">
        <v>63936</v>
      </c>
      <c r="AZ2167" s="124" t="s">
        <v>56</v>
      </c>
    </row>
    <row r="2168" customHeight="1" spans="51:52">
      <c r="AY2168" s="134">
        <v>63965</v>
      </c>
      <c r="AZ2168" s="124" t="s">
        <v>77</v>
      </c>
    </row>
    <row r="2169" customHeight="1" spans="51:52">
      <c r="AY2169" s="134">
        <v>63995</v>
      </c>
      <c r="AZ2169" s="124" t="s">
        <v>63</v>
      </c>
    </row>
    <row r="2170" customHeight="1" spans="51:52">
      <c r="AY2170" s="134">
        <v>64024</v>
      </c>
      <c r="AZ2170" s="124" t="s">
        <v>83</v>
      </c>
    </row>
    <row r="2171" customHeight="1" spans="51:52">
      <c r="AY2171" s="134">
        <v>64054</v>
      </c>
      <c r="AZ2171" s="124" t="s">
        <v>101</v>
      </c>
    </row>
    <row r="2172" customHeight="1" spans="51:52">
      <c r="AY2172" s="134">
        <v>64083</v>
      </c>
      <c r="AZ2172" s="124" t="s">
        <v>117</v>
      </c>
    </row>
    <row r="2173" customHeight="1" spans="51:52">
      <c r="AY2173" s="134">
        <v>64113</v>
      </c>
      <c r="AZ2173" s="124" t="s">
        <v>136</v>
      </c>
    </row>
    <row r="2174" customHeight="1" spans="51:52">
      <c r="AY2174" s="134">
        <v>64143</v>
      </c>
      <c r="AZ2174" s="124" t="s">
        <v>155</v>
      </c>
    </row>
    <row r="2175" customHeight="1" spans="51:52">
      <c r="AY2175" s="134">
        <v>64172</v>
      </c>
      <c r="AZ2175" s="124" t="s">
        <v>174</v>
      </c>
    </row>
    <row r="2176" customHeight="1" spans="51:52">
      <c r="AY2176" s="134">
        <v>64202</v>
      </c>
      <c r="AZ2176" s="124" t="s">
        <v>186</v>
      </c>
    </row>
    <row r="2177" customHeight="1" spans="51:52">
      <c r="AY2177" s="134">
        <v>64231</v>
      </c>
      <c r="AZ2177" s="124" t="s">
        <v>198</v>
      </c>
    </row>
    <row r="2178" customHeight="1" spans="51:52">
      <c r="AY2178" s="134">
        <v>64261</v>
      </c>
      <c r="AZ2178" s="124" t="s">
        <v>233</v>
      </c>
    </row>
    <row r="2179" customHeight="1" spans="51:52">
      <c r="AY2179" s="134">
        <v>64290</v>
      </c>
      <c r="AZ2179" s="124" t="s">
        <v>56</v>
      </c>
    </row>
    <row r="2180" customHeight="1" spans="51:52">
      <c r="AY2180" s="134">
        <v>64320</v>
      </c>
      <c r="AZ2180" s="124" t="s">
        <v>77</v>
      </c>
    </row>
    <row r="2181" customHeight="1" spans="51:52">
      <c r="AY2181" s="134">
        <v>64349</v>
      </c>
      <c r="AZ2181" s="124" t="s">
        <v>63</v>
      </c>
    </row>
    <row r="2182" customHeight="1" spans="51:52">
      <c r="AY2182" s="134">
        <v>64379</v>
      </c>
      <c r="AZ2182" s="124" t="s">
        <v>83</v>
      </c>
    </row>
    <row r="2183" customHeight="1" spans="51:52">
      <c r="AY2183" s="134">
        <v>64408</v>
      </c>
      <c r="AZ2183" s="124" t="s">
        <v>101</v>
      </c>
    </row>
    <row r="2184" customHeight="1" spans="51:52">
      <c r="AY2184" s="134">
        <v>64438</v>
      </c>
      <c r="AZ2184" s="124" t="s">
        <v>117</v>
      </c>
    </row>
    <row r="2185" customHeight="1" spans="51:52">
      <c r="AY2185" s="134">
        <v>64467</v>
      </c>
      <c r="AZ2185" s="124" t="s">
        <v>136</v>
      </c>
    </row>
    <row r="2186" customHeight="1" spans="51:52">
      <c r="AY2186" s="134">
        <v>64497</v>
      </c>
      <c r="AZ2186" s="124" t="s">
        <v>155</v>
      </c>
    </row>
    <row r="2187" customHeight="1" spans="51:52">
      <c r="AY2187" s="134">
        <v>64526</v>
      </c>
      <c r="AZ2187" s="124" t="s">
        <v>174</v>
      </c>
    </row>
    <row r="2188" customHeight="1" spans="51:52">
      <c r="AY2188" s="134">
        <v>64556</v>
      </c>
      <c r="AZ2188" s="124" t="s">
        <v>186</v>
      </c>
    </row>
    <row r="2189" customHeight="1" spans="51:52">
      <c r="AY2189" s="134">
        <v>64586</v>
      </c>
      <c r="AZ2189" s="124" t="s">
        <v>198</v>
      </c>
    </row>
    <row r="2190" customHeight="1" spans="51:52">
      <c r="AY2190" s="134">
        <v>64615</v>
      </c>
      <c r="AZ2190" s="124" t="s">
        <v>233</v>
      </c>
    </row>
    <row r="2191" customHeight="1" spans="51:52">
      <c r="AY2191" s="134">
        <v>64645</v>
      </c>
      <c r="AZ2191" s="124" t="s">
        <v>56</v>
      </c>
    </row>
    <row r="2192" customHeight="1" spans="51:52">
      <c r="AY2192" s="134">
        <v>64674</v>
      </c>
      <c r="AZ2192" s="124" t="s">
        <v>77</v>
      </c>
    </row>
    <row r="2193" customHeight="1" spans="51:52">
      <c r="AY2193" s="134">
        <v>64704</v>
      </c>
      <c r="AZ2193" s="124" t="s">
        <v>63</v>
      </c>
    </row>
    <row r="2194" customHeight="1" spans="51:52">
      <c r="AY2194" s="134">
        <v>64733</v>
      </c>
      <c r="AZ2194" s="124" t="s">
        <v>83</v>
      </c>
    </row>
    <row r="2195" customHeight="1" spans="51:52">
      <c r="AY2195" s="134">
        <v>64763</v>
      </c>
      <c r="AZ2195" s="124" t="s">
        <v>101</v>
      </c>
    </row>
    <row r="2196" customHeight="1" spans="51:52">
      <c r="AY2196" s="134">
        <v>64792</v>
      </c>
      <c r="AZ2196" s="124" t="s">
        <v>384</v>
      </c>
    </row>
    <row r="2197" customHeight="1" spans="51:52">
      <c r="AY2197" s="134">
        <v>64821</v>
      </c>
      <c r="AZ2197" s="124" t="s">
        <v>117</v>
      </c>
    </row>
    <row r="2198" customHeight="1" spans="51:52">
      <c r="AY2198" s="134">
        <v>64851</v>
      </c>
      <c r="AZ2198" s="124" t="s">
        <v>136</v>
      </c>
    </row>
    <row r="2199" customHeight="1" spans="51:52">
      <c r="AY2199" s="134">
        <v>64880</v>
      </c>
      <c r="AZ2199" s="124" t="s">
        <v>155</v>
      </c>
    </row>
    <row r="2200" customHeight="1" spans="51:52">
      <c r="AY2200" s="134">
        <v>64910</v>
      </c>
      <c r="AZ2200" s="124" t="s">
        <v>174</v>
      </c>
    </row>
    <row r="2201" customHeight="1" spans="51:52">
      <c r="AY2201" s="134">
        <v>64940</v>
      </c>
      <c r="AZ2201" s="124" t="s">
        <v>186</v>
      </c>
    </row>
    <row r="2202" customHeight="1" spans="51:52">
      <c r="AY2202" s="134">
        <v>64970</v>
      </c>
      <c r="AZ2202" s="124" t="s">
        <v>198</v>
      </c>
    </row>
    <row r="2203" customHeight="1" spans="51:52">
      <c r="AY2203" s="134">
        <v>64999</v>
      </c>
      <c r="AZ2203" s="124" t="s">
        <v>233</v>
      </c>
    </row>
    <row r="2204" customHeight="1" spans="51:52">
      <c r="AY2204" s="134">
        <v>65029</v>
      </c>
      <c r="AZ2204" s="124" t="s">
        <v>56</v>
      </c>
    </row>
    <row r="2205" customHeight="1" spans="51:52">
      <c r="AY2205" s="134">
        <v>65058</v>
      </c>
      <c r="AZ2205" s="124" t="s">
        <v>77</v>
      </c>
    </row>
    <row r="2206" customHeight="1" spans="51:52">
      <c r="AY2206" s="134">
        <v>65088</v>
      </c>
      <c r="AZ2206" s="124" t="s">
        <v>63</v>
      </c>
    </row>
    <row r="2207" customHeight="1" spans="51:52">
      <c r="AY2207" s="134">
        <v>65117</v>
      </c>
      <c r="AZ2207" s="124" t="s">
        <v>83</v>
      </c>
    </row>
    <row r="2208" customHeight="1" spans="51:52">
      <c r="AY2208" s="134">
        <v>65147</v>
      </c>
      <c r="AZ2208" s="124" t="s">
        <v>101</v>
      </c>
    </row>
    <row r="2209" customHeight="1" spans="51:52">
      <c r="AY2209" s="134">
        <v>65176</v>
      </c>
      <c r="AZ2209" s="124" t="s">
        <v>117</v>
      </c>
    </row>
    <row r="2210" customHeight="1" spans="51:52">
      <c r="AY2210" s="134">
        <v>65205</v>
      </c>
      <c r="AZ2210" s="124" t="s">
        <v>136</v>
      </c>
    </row>
    <row r="2211" customHeight="1" spans="51:52">
      <c r="AY2211" s="134">
        <v>65235</v>
      </c>
      <c r="AZ2211" s="124" t="s">
        <v>155</v>
      </c>
    </row>
    <row r="2212" customHeight="1" spans="51:52">
      <c r="AY2212" s="134">
        <v>65264</v>
      </c>
      <c r="AZ2212" s="124" t="s">
        <v>174</v>
      </c>
    </row>
    <row r="2213" customHeight="1" spans="51:52">
      <c r="AY2213" s="134">
        <v>65294</v>
      </c>
      <c r="AZ2213" s="124" t="s">
        <v>186</v>
      </c>
    </row>
    <row r="2214" customHeight="1" spans="51:52">
      <c r="AY2214" s="134">
        <v>65324</v>
      </c>
      <c r="AZ2214" s="124" t="s">
        <v>198</v>
      </c>
    </row>
    <row r="2215" customHeight="1" spans="51:52">
      <c r="AY2215" s="134">
        <v>65353</v>
      </c>
      <c r="AZ2215" s="124" t="s">
        <v>233</v>
      </c>
    </row>
    <row r="2216" customHeight="1" spans="51:52">
      <c r="AY2216" s="134">
        <v>65383</v>
      </c>
      <c r="AZ2216" s="124" t="s">
        <v>56</v>
      </c>
    </row>
    <row r="2217" customHeight="1" spans="51:52">
      <c r="AY2217" s="134">
        <v>65413</v>
      </c>
      <c r="AZ2217" s="124" t="s">
        <v>77</v>
      </c>
    </row>
    <row r="2218" customHeight="1" spans="51:52">
      <c r="AY2218" s="134">
        <v>65442</v>
      </c>
      <c r="AZ2218" s="124" t="s">
        <v>63</v>
      </c>
    </row>
    <row r="2219" customHeight="1" spans="51:52">
      <c r="AY2219" s="134">
        <v>65472</v>
      </c>
      <c r="AZ2219" s="124" t="s">
        <v>83</v>
      </c>
    </row>
    <row r="2220" customHeight="1" spans="51:52">
      <c r="AY2220" s="134">
        <v>65501</v>
      </c>
      <c r="AZ2220" s="124" t="s">
        <v>101</v>
      </c>
    </row>
    <row r="2221" customHeight="1" spans="51:52">
      <c r="AY2221" s="134">
        <v>65531</v>
      </c>
      <c r="AZ2221" s="124" t="s">
        <v>117</v>
      </c>
    </row>
    <row r="2222" customHeight="1" spans="51:52">
      <c r="AY2222" s="134">
        <v>65560</v>
      </c>
      <c r="AZ2222" s="124" t="s">
        <v>136</v>
      </c>
    </row>
    <row r="2223" customHeight="1" spans="51:52">
      <c r="AY2223" s="134">
        <v>65589</v>
      </c>
      <c r="AZ2223" s="124" t="s">
        <v>155</v>
      </c>
    </row>
    <row r="2224" customHeight="1" spans="51:52">
      <c r="AY2224" s="134">
        <v>65619</v>
      </c>
      <c r="AZ2224" s="124" t="s">
        <v>174</v>
      </c>
    </row>
    <row r="2225" customHeight="1" spans="51:52">
      <c r="AY2225" s="134">
        <v>65648</v>
      </c>
      <c r="AZ2225" s="124" t="s">
        <v>186</v>
      </c>
    </row>
    <row r="2226" customHeight="1" spans="51:52">
      <c r="AY2226" s="134">
        <v>65678</v>
      </c>
      <c r="AZ2226" s="124" t="s">
        <v>198</v>
      </c>
    </row>
    <row r="2227" customHeight="1" spans="51:52">
      <c r="AY2227" s="134">
        <v>65707</v>
      </c>
      <c r="AZ2227" s="124" t="s">
        <v>233</v>
      </c>
    </row>
    <row r="2228" customHeight="1" spans="51:52">
      <c r="AY2228" s="134">
        <v>65737</v>
      </c>
      <c r="AZ2228" s="124" t="s">
        <v>56</v>
      </c>
    </row>
    <row r="2229" customHeight="1" spans="51:52">
      <c r="AY2229" s="134">
        <v>65767</v>
      </c>
      <c r="AZ2229" s="124" t="s">
        <v>77</v>
      </c>
    </row>
    <row r="2230" customHeight="1" spans="51:52">
      <c r="AY2230" s="134">
        <v>65797</v>
      </c>
      <c r="AZ2230" s="124" t="s">
        <v>63</v>
      </c>
    </row>
    <row r="2231" customHeight="1" spans="51:52">
      <c r="AY2231" s="134">
        <v>65826</v>
      </c>
      <c r="AZ2231" s="124" t="s">
        <v>83</v>
      </c>
    </row>
    <row r="2232" customHeight="1" spans="51:52">
      <c r="AY2232" s="134">
        <v>65856</v>
      </c>
      <c r="AZ2232" s="124" t="s">
        <v>404</v>
      </c>
    </row>
    <row r="2233" customHeight="1" spans="51:52">
      <c r="AY2233" s="134">
        <v>65885</v>
      </c>
      <c r="AZ2233" s="124" t="s">
        <v>101</v>
      </c>
    </row>
    <row r="2234" customHeight="1" spans="51:52">
      <c r="AY2234" s="134">
        <v>65915</v>
      </c>
      <c r="AZ2234" s="124" t="s">
        <v>117</v>
      </c>
    </row>
    <row r="2235" customHeight="1" spans="51:52">
      <c r="AY2235" s="134">
        <v>65944</v>
      </c>
      <c r="AZ2235" s="124" t="s">
        <v>136</v>
      </c>
    </row>
    <row r="2236" customHeight="1" spans="51:52">
      <c r="AY2236" s="134">
        <v>65973</v>
      </c>
      <c r="AZ2236" s="124" t="s">
        <v>155</v>
      </c>
    </row>
    <row r="2237" customHeight="1" spans="51:52">
      <c r="AY2237" s="134">
        <v>66003</v>
      </c>
      <c r="AZ2237" s="124" t="s">
        <v>174</v>
      </c>
    </row>
    <row r="2238" customHeight="1" spans="51:52">
      <c r="AY2238" s="134">
        <v>66032</v>
      </c>
      <c r="AZ2238" s="124" t="s">
        <v>186</v>
      </c>
    </row>
    <row r="2239" customHeight="1" spans="51:52">
      <c r="AY2239" s="134">
        <v>66061</v>
      </c>
      <c r="AZ2239" s="124" t="s">
        <v>198</v>
      </c>
    </row>
    <row r="2240" customHeight="1" spans="51:52">
      <c r="AY2240" s="134">
        <v>66091</v>
      </c>
      <c r="AZ2240" s="124" t="s">
        <v>233</v>
      </c>
    </row>
    <row r="2241" customHeight="1" spans="51:52">
      <c r="AY2241" s="134">
        <v>66121</v>
      </c>
      <c r="AZ2241" s="124" t="s">
        <v>56</v>
      </c>
    </row>
    <row r="2242" customHeight="1" spans="51:52">
      <c r="AY2242" s="134">
        <v>66151</v>
      </c>
      <c r="AZ2242" s="124" t="s">
        <v>77</v>
      </c>
    </row>
    <row r="2243" customHeight="1" spans="51:52">
      <c r="AY2243" s="134">
        <v>66180</v>
      </c>
      <c r="AZ2243" s="124" t="s">
        <v>63</v>
      </c>
    </row>
    <row r="2244" customHeight="1" spans="51:52">
      <c r="AY2244" s="134">
        <v>66210</v>
      </c>
      <c r="AZ2244" s="124" t="s">
        <v>83</v>
      </c>
    </row>
    <row r="2245" customHeight="1" spans="51:52">
      <c r="AY2245" s="134">
        <v>66240</v>
      </c>
      <c r="AZ2245" s="124" t="s">
        <v>101</v>
      </c>
    </row>
    <row r="2246" customHeight="1" spans="51:52">
      <c r="AY2246" s="134">
        <v>66269</v>
      </c>
      <c r="AZ2246" s="124" t="s">
        <v>117</v>
      </c>
    </row>
    <row r="2247" customHeight="1" spans="51:52">
      <c r="AY2247" s="134">
        <v>66299</v>
      </c>
      <c r="AZ2247" s="124" t="s">
        <v>136</v>
      </c>
    </row>
    <row r="2248" customHeight="1" spans="51:52">
      <c r="AY2248" s="134">
        <v>66328</v>
      </c>
      <c r="AZ2248" s="124" t="s">
        <v>155</v>
      </c>
    </row>
    <row r="2249" customHeight="1" spans="51:52">
      <c r="AY2249" s="134">
        <v>66357</v>
      </c>
      <c r="AZ2249" s="124" t="s">
        <v>174</v>
      </c>
    </row>
    <row r="2250" customHeight="1" spans="51:52">
      <c r="AY2250" s="134">
        <v>66387</v>
      </c>
      <c r="AZ2250" s="124" t="s">
        <v>186</v>
      </c>
    </row>
    <row r="2251" customHeight="1" spans="51:52">
      <c r="AY2251" s="134">
        <v>66416</v>
      </c>
      <c r="AZ2251" s="124" t="s">
        <v>198</v>
      </c>
    </row>
    <row r="2252" customHeight="1" spans="51:52">
      <c r="AY2252" s="134">
        <v>66445</v>
      </c>
      <c r="AZ2252" s="124" t="s">
        <v>233</v>
      </c>
    </row>
    <row r="2253" customHeight="1" spans="51:52">
      <c r="AY2253" s="134">
        <v>66475</v>
      </c>
      <c r="AZ2253" s="124" t="s">
        <v>56</v>
      </c>
    </row>
    <row r="2254" customHeight="1" spans="51:52">
      <c r="AY2254" s="134">
        <v>66505</v>
      </c>
      <c r="AZ2254" s="124" t="s">
        <v>77</v>
      </c>
    </row>
    <row r="2255" customHeight="1" spans="51:52">
      <c r="AY2255" s="134">
        <v>66534</v>
      </c>
      <c r="AZ2255" s="124" t="s">
        <v>63</v>
      </c>
    </row>
    <row r="2256" customHeight="1" spans="51:52">
      <c r="AY2256" s="134">
        <v>66564</v>
      </c>
      <c r="AZ2256" s="124" t="s">
        <v>83</v>
      </c>
    </row>
    <row r="2257" customHeight="1" spans="51:52">
      <c r="AY2257" s="134">
        <v>66594</v>
      </c>
      <c r="AZ2257" s="124" t="s">
        <v>101</v>
      </c>
    </row>
    <row r="2258" customHeight="1" spans="51:52">
      <c r="AY2258" s="134">
        <v>66624</v>
      </c>
      <c r="AZ2258" s="124" t="s">
        <v>117</v>
      </c>
    </row>
    <row r="2259" customHeight="1" spans="51:52">
      <c r="AY2259" s="134">
        <v>66653</v>
      </c>
      <c r="AZ2259" s="124" t="s">
        <v>136</v>
      </c>
    </row>
    <row r="2260" customHeight="1" spans="51:52">
      <c r="AY2260" s="134">
        <v>66682</v>
      </c>
      <c r="AZ2260" s="124" t="s">
        <v>155</v>
      </c>
    </row>
    <row r="2261" customHeight="1" spans="51:52">
      <c r="AY2261" s="134">
        <v>66712</v>
      </c>
      <c r="AZ2261" s="124" t="s">
        <v>403</v>
      </c>
    </row>
    <row r="2262" customHeight="1" spans="51:52">
      <c r="AY2262" s="134">
        <v>66741</v>
      </c>
      <c r="AZ2262" s="124" t="s">
        <v>174</v>
      </c>
    </row>
    <row r="2263" customHeight="1" spans="51:52">
      <c r="AY2263" s="134">
        <v>66771</v>
      </c>
      <c r="AZ2263" s="124" t="s">
        <v>186</v>
      </c>
    </row>
    <row r="2264" customHeight="1" spans="51:52">
      <c r="AY2264" s="134">
        <v>66800</v>
      </c>
      <c r="AZ2264" s="124" t="s">
        <v>198</v>
      </c>
    </row>
    <row r="2265" customHeight="1" spans="51:52">
      <c r="AY2265" s="134">
        <v>66829</v>
      </c>
      <c r="AZ2265" s="124" t="s">
        <v>233</v>
      </c>
    </row>
    <row r="2266" customHeight="1" spans="51:52">
      <c r="AY2266" s="134">
        <v>66859</v>
      </c>
      <c r="AZ2266" s="124" t="s">
        <v>56</v>
      </c>
    </row>
    <row r="2267" customHeight="1" spans="51:52">
      <c r="AY2267" s="134">
        <v>66889</v>
      </c>
      <c r="AZ2267" s="124" t="s">
        <v>77</v>
      </c>
    </row>
    <row r="2268" customHeight="1" spans="51:52">
      <c r="AY2268" s="134">
        <v>66918</v>
      </c>
      <c r="AZ2268" s="124" t="s">
        <v>63</v>
      </c>
    </row>
    <row r="2269" customHeight="1" spans="51:52">
      <c r="AY2269" s="134">
        <v>66948</v>
      </c>
      <c r="AZ2269" s="124" t="s">
        <v>83</v>
      </c>
    </row>
    <row r="2270" customHeight="1" spans="51:52">
      <c r="AY2270" s="134">
        <v>66978</v>
      </c>
      <c r="AZ2270" s="124" t="s">
        <v>101</v>
      </c>
    </row>
    <row r="2271" customHeight="1" spans="51:52">
      <c r="AY2271" s="134">
        <v>67007</v>
      </c>
      <c r="AZ2271" s="124" t="s">
        <v>117</v>
      </c>
    </row>
    <row r="2272" customHeight="1" spans="51:52">
      <c r="AY2272" s="134">
        <v>67037</v>
      </c>
      <c r="AZ2272" s="124" t="s">
        <v>136</v>
      </c>
    </row>
    <row r="2273" customHeight="1" spans="51:52">
      <c r="AY2273" s="134">
        <v>67066</v>
      </c>
      <c r="AZ2273" s="124" t="s">
        <v>155</v>
      </c>
    </row>
    <row r="2274" customHeight="1" spans="51:52">
      <c r="AY2274" s="134">
        <v>67096</v>
      </c>
      <c r="AZ2274" s="124" t="s">
        <v>174</v>
      </c>
    </row>
    <row r="2275" customHeight="1" spans="51:52">
      <c r="AY2275" s="134">
        <v>67125</v>
      </c>
      <c r="AZ2275" s="124" t="s">
        <v>186</v>
      </c>
    </row>
    <row r="2276" customHeight="1" spans="51:52">
      <c r="AY2276" s="134">
        <v>67155</v>
      </c>
      <c r="AZ2276" s="124" t="s">
        <v>198</v>
      </c>
    </row>
    <row r="2277" customHeight="1" spans="51:52">
      <c r="AY2277" s="134">
        <v>67184</v>
      </c>
      <c r="AZ2277" s="124" t="s">
        <v>233</v>
      </c>
    </row>
    <row r="2278" customHeight="1" spans="51:52">
      <c r="AY2278" s="134">
        <v>67214</v>
      </c>
      <c r="AZ2278" s="124" t="s">
        <v>56</v>
      </c>
    </row>
    <row r="2279" customHeight="1" spans="51:52">
      <c r="AY2279" s="134">
        <v>67243</v>
      </c>
      <c r="AZ2279" s="124" t="s">
        <v>77</v>
      </c>
    </row>
    <row r="2280" customHeight="1" spans="51:52">
      <c r="AY2280" s="134">
        <v>67273</v>
      </c>
      <c r="AZ2280" s="124" t="s">
        <v>63</v>
      </c>
    </row>
    <row r="2281" customHeight="1" spans="51:52">
      <c r="AY2281" s="134">
        <v>67302</v>
      </c>
      <c r="AZ2281" s="124" t="s">
        <v>83</v>
      </c>
    </row>
    <row r="2282" customHeight="1" spans="51:52">
      <c r="AY2282" s="134">
        <v>67332</v>
      </c>
      <c r="AZ2282" s="124" t="s">
        <v>101</v>
      </c>
    </row>
    <row r="2283" customHeight="1" spans="51:52">
      <c r="AY2283" s="134">
        <v>67361</v>
      </c>
      <c r="AZ2283" s="124" t="s">
        <v>117</v>
      </c>
    </row>
    <row r="2284" customHeight="1" spans="51:52">
      <c r="AY2284" s="134">
        <v>67391</v>
      </c>
      <c r="AZ2284" s="124" t="s">
        <v>136</v>
      </c>
    </row>
    <row r="2285" customHeight="1" spans="51:52">
      <c r="AY2285" s="134">
        <v>67421</v>
      </c>
      <c r="AZ2285" s="124" t="s">
        <v>155</v>
      </c>
    </row>
    <row r="2286" customHeight="1" spans="51:52">
      <c r="AY2286" s="134">
        <v>67450</v>
      </c>
      <c r="AZ2286" s="124" t="s">
        <v>174</v>
      </c>
    </row>
    <row r="2287" customHeight="1" spans="51:52">
      <c r="AY2287" s="134">
        <v>67480</v>
      </c>
      <c r="AZ2287" s="124" t="s">
        <v>186</v>
      </c>
    </row>
    <row r="2288" customHeight="1" spans="51:52">
      <c r="AY2288" s="134">
        <v>67509</v>
      </c>
      <c r="AZ2288" s="124" t="s">
        <v>198</v>
      </c>
    </row>
    <row r="2289" customHeight="1" spans="51:52">
      <c r="AY2289" s="134">
        <v>67539</v>
      </c>
      <c r="AZ2289" s="124" t="s">
        <v>233</v>
      </c>
    </row>
    <row r="2290" customHeight="1" spans="51:52">
      <c r="AY2290" s="134">
        <v>67568</v>
      </c>
      <c r="AZ2290" s="124" t="s">
        <v>56</v>
      </c>
    </row>
    <row r="2291" customHeight="1" spans="51:52">
      <c r="AY2291" s="134">
        <v>67598</v>
      </c>
      <c r="AZ2291" s="124" t="s">
        <v>77</v>
      </c>
    </row>
    <row r="2292" customHeight="1" spans="51:52">
      <c r="AY2292" s="134">
        <v>67627</v>
      </c>
      <c r="AZ2292" s="124" t="s">
        <v>63</v>
      </c>
    </row>
    <row r="2293" customHeight="1" spans="51:52">
      <c r="AY2293" s="134">
        <v>67657</v>
      </c>
      <c r="AZ2293" s="124" t="s">
        <v>83</v>
      </c>
    </row>
    <row r="2294" customHeight="1" spans="51:52">
      <c r="AY2294" s="134">
        <v>67686</v>
      </c>
      <c r="AZ2294" s="124" t="s">
        <v>101</v>
      </c>
    </row>
    <row r="2295" customHeight="1" spans="51:52">
      <c r="AY2295" s="134">
        <v>67715</v>
      </c>
      <c r="AZ2295" s="124" t="s">
        <v>117</v>
      </c>
    </row>
    <row r="2296" customHeight="1" spans="51:52">
      <c r="AY2296" s="134">
        <v>67745</v>
      </c>
      <c r="AZ2296" s="124" t="s">
        <v>323</v>
      </c>
    </row>
    <row r="2297" customHeight="1" spans="51:52">
      <c r="AY2297" s="134">
        <v>67775</v>
      </c>
      <c r="AZ2297" s="124" t="s">
        <v>136</v>
      </c>
    </row>
    <row r="2298" customHeight="1" spans="51:52">
      <c r="AY2298" s="134">
        <v>67804</v>
      </c>
      <c r="AZ2298" s="124" t="s">
        <v>155</v>
      </c>
    </row>
    <row r="2299" customHeight="1" spans="51:52">
      <c r="AY2299" s="134">
        <v>67834</v>
      </c>
      <c r="AZ2299" s="124" t="s">
        <v>174</v>
      </c>
    </row>
    <row r="2300" customHeight="1" spans="51:52">
      <c r="AY2300" s="134">
        <v>67864</v>
      </c>
      <c r="AZ2300" s="124" t="s">
        <v>186</v>
      </c>
    </row>
    <row r="2301" customHeight="1" spans="51:52">
      <c r="AY2301" s="134">
        <v>67893</v>
      </c>
      <c r="AZ2301" s="124" t="s">
        <v>198</v>
      </c>
    </row>
    <row r="2302" customHeight="1" spans="51:52">
      <c r="AY2302" s="134">
        <v>67923</v>
      </c>
      <c r="AZ2302" s="124" t="s">
        <v>233</v>
      </c>
    </row>
    <row r="2303" customHeight="1" spans="51:52">
      <c r="AY2303" s="134">
        <v>67952</v>
      </c>
      <c r="AZ2303" s="124" t="s">
        <v>56</v>
      </c>
    </row>
    <row r="2304" customHeight="1" spans="51:52">
      <c r="AY2304" s="134">
        <v>67982</v>
      </c>
      <c r="AZ2304" s="124" t="s">
        <v>77</v>
      </c>
    </row>
    <row r="2305" customHeight="1" spans="51:52">
      <c r="AY2305" s="134">
        <v>68011</v>
      </c>
      <c r="AZ2305" s="124" t="s">
        <v>63</v>
      </c>
    </row>
    <row r="2306" customHeight="1" spans="51:52">
      <c r="AY2306" s="134">
        <v>68041</v>
      </c>
      <c r="AZ2306" s="124" t="s">
        <v>83</v>
      </c>
    </row>
    <row r="2307" customHeight="1" spans="51:52">
      <c r="AY2307" s="134">
        <v>68070</v>
      </c>
      <c r="AZ2307" s="124" t="s">
        <v>101</v>
      </c>
    </row>
    <row r="2308" customHeight="1" spans="51:52">
      <c r="AY2308" s="134">
        <v>68099</v>
      </c>
      <c r="AZ2308" s="124" t="s">
        <v>117</v>
      </c>
    </row>
    <row r="2309" customHeight="1" spans="51:52">
      <c r="AY2309" s="134">
        <v>68129</v>
      </c>
      <c r="AZ2309" s="124" t="s">
        <v>136</v>
      </c>
    </row>
    <row r="2310" customHeight="1" spans="51:52">
      <c r="AY2310" s="134">
        <v>68158</v>
      </c>
      <c r="AZ2310" s="124" t="s">
        <v>155</v>
      </c>
    </row>
    <row r="2311" customHeight="1" spans="51:52">
      <c r="AY2311" s="134">
        <v>68188</v>
      </c>
      <c r="AZ2311" s="124" t="s">
        <v>174</v>
      </c>
    </row>
    <row r="2312" customHeight="1" spans="51:52">
      <c r="AY2312" s="134">
        <v>68218</v>
      </c>
      <c r="AZ2312" s="124" t="s">
        <v>186</v>
      </c>
    </row>
    <row r="2313" customHeight="1" spans="51:52">
      <c r="AY2313" s="134">
        <v>68247</v>
      </c>
      <c r="AZ2313" s="124" t="s">
        <v>198</v>
      </c>
    </row>
    <row r="2314" customHeight="1" spans="51:52">
      <c r="AY2314" s="134">
        <v>68277</v>
      </c>
      <c r="AZ2314" s="124" t="s">
        <v>233</v>
      </c>
    </row>
    <row r="2315" customHeight="1" spans="51:52">
      <c r="AY2315" s="134">
        <v>68307</v>
      </c>
      <c r="AZ2315" s="124" t="s">
        <v>56</v>
      </c>
    </row>
    <row r="2316" customHeight="1" spans="51:52">
      <c r="AY2316" s="134">
        <v>68336</v>
      </c>
      <c r="AZ2316" s="124" t="s">
        <v>77</v>
      </c>
    </row>
    <row r="2317" customHeight="1" spans="51:52">
      <c r="AY2317" s="134">
        <v>68366</v>
      </c>
      <c r="AZ2317" s="124" t="s">
        <v>63</v>
      </c>
    </row>
    <row r="2318" customHeight="1" spans="51:52">
      <c r="AY2318" s="134">
        <v>68395</v>
      </c>
      <c r="AZ2318" s="124" t="s">
        <v>83</v>
      </c>
    </row>
    <row r="2319" customHeight="1" spans="51:52">
      <c r="AY2319" s="134">
        <v>68425</v>
      </c>
      <c r="AZ2319" s="124" t="s">
        <v>101</v>
      </c>
    </row>
    <row r="2320" customHeight="1" spans="51:52">
      <c r="AY2320" s="134">
        <v>68454</v>
      </c>
      <c r="AZ2320" s="124" t="s">
        <v>117</v>
      </c>
    </row>
    <row r="2321" customHeight="1" spans="51:52">
      <c r="AY2321" s="134">
        <v>68483</v>
      </c>
      <c r="AZ2321" s="124" t="s">
        <v>136</v>
      </c>
    </row>
    <row r="2322" customHeight="1" spans="51:52">
      <c r="AY2322" s="134">
        <v>68513</v>
      </c>
      <c r="AZ2322" s="124" t="s">
        <v>155</v>
      </c>
    </row>
    <row r="2323" customHeight="1" spans="51:52">
      <c r="AY2323" s="134">
        <v>68542</v>
      </c>
      <c r="AZ2323" s="124" t="s">
        <v>174</v>
      </c>
    </row>
    <row r="2324" customHeight="1" spans="51:52">
      <c r="AY2324" s="134">
        <v>68572</v>
      </c>
      <c r="AZ2324" s="124" t="s">
        <v>186</v>
      </c>
    </row>
    <row r="2325" customHeight="1" spans="51:52">
      <c r="AY2325" s="134">
        <v>68601</v>
      </c>
      <c r="AZ2325" s="124" t="s">
        <v>198</v>
      </c>
    </row>
    <row r="2326" customHeight="1" spans="51:52">
      <c r="AY2326" s="134">
        <v>68631</v>
      </c>
      <c r="AZ2326" s="124" t="s">
        <v>233</v>
      </c>
    </row>
    <row r="2327" customHeight="1" spans="51:52">
      <c r="AY2327" s="134">
        <v>68661</v>
      </c>
      <c r="AZ2327" s="124" t="s">
        <v>56</v>
      </c>
    </row>
    <row r="2328" customHeight="1" spans="51:52">
      <c r="AY2328" s="134">
        <v>68691</v>
      </c>
      <c r="AZ2328" s="124" t="s">
        <v>77</v>
      </c>
    </row>
    <row r="2329" customHeight="1" spans="51:52">
      <c r="AY2329" s="134">
        <v>68720</v>
      </c>
      <c r="AZ2329" s="124" t="s">
        <v>63</v>
      </c>
    </row>
    <row r="2330" customHeight="1" spans="51:52">
      <c r="AY2330" s="134">
        <v>68750</v>
      </c>
      <c r="AZ2330" s="124" t="s">
        <v>83</v>
      </c>
    </row>
    <row r="2331" customHeight="1" spans="51:52">
      <c r="AY2331" s="134">
        <v>68779</v>
      </c>
      <c r="AZ2331" s="124" t="s">
        <v>101</v>
      </c>
    </row>
    <row r="2332" customHeight="1" spans="51:52">
      <c r="AY2332" s="134">
        <v>68809</v>
      </c>
      <c r="AZ2332" s="124" t="s">
        <v>384</v>
      </c>
    </row>
    <row r="2333" customHeight="1" spans="51:52">
      <c r="AY2333" s="134">
        <v>68838</v>
      </c>
      <c r="AZ2333" s="124" t="s">
        <v>117</v>
      </c>
    </row>
    <row r="2334" customHeight="1" spans="51:52">
      <c r="AY2334" s="134">
        <v>68867</v>
      </c>
      <c r="AZ2334" s="124" t="s">
        <v>136</v>
      </c>
    </row>
    <row r="2335" customHeight="1" spans="51:52">
      <c r="AY2335" s="134">
        <v>68897</v>
      </c>
      <c r="AZ2335" s="124" t="s">
        <v>155</v>
      </c>
    </row>
    <row r="2336" customHeight="1" spans="51:52">
      <c r="AY2336" s="134">
        <v>68926</v>
      </c>
      <c r="AZ2336" s="124" t="s">
        <v>174</v>
      </c>
    </row>
    <row r="2337" customHeight="1" spans="51:52">
      <c r="AY2337" s="134">
        <v>68955</v>
      </c>
      <c r="AZ2337" s="124" t="s">
        <v>186</v>
      </c>
    </row>
    <row r="2338" customHeight="1" spans="51:52">
      <c r="AY2338" s="134">
        <v>68985</v>
      </c>
      <c r="AZ2338" s="124" t="s">
        <v>198</v>
      </c>
    </row>
    <row r="2339" customHeight="1" spans="51:52">
      <c r="AY2339" s="134">
        <v>69015</v>
      </c>
      <c r="AZ2339" s="124" t="s">
        <v>233</v>
      </c>
    </row>
    <row r="2340" customHeight="1" spans="51:52">
      <c r="AY2340" s="134">
        <v>69045</v>
      </c>
      <c r="AZ2340" s="124" t="s">
        <v>56</v>
      </c>
    </row>
    <row r="2341" customHeight="1" spans="51:52">
      <c r="AY2341" s="134">
        <v>69074</v>
      </c>
      <c r="AZ2341" s="124" t="s">
        <v>77</v>
      </c>
    </row>
    <row r="2342" customHeight="1" spans="51:52">
      <c r="AY2342" s="134">
        <v>69104</v>
      </c>
      <c r="AZ2342" s="124" t="s">
        <v>63</v>
      </c>
    </row>
    <row r="2343" customHeight="1" spans="51:52">
      <c r="AY2343" s="134">
        <v>69134</v>
      </c>
      <c r="AZ2343" s="124" t="s">
        <v>83</v>
      </c>
    </row>
    <row r="2344" customHeight="1" spans="51:52">
      <c r="AY2344" s="134">
        <v>69163</v>
      </c>
      <c r="AZ2344" s="124" t="s">
        <v>101</v>
      </c>
    </row>
    <row r="2345" customHeight="1" spans="51:52">
      <c r="AY2345" s="134">
        <v>69193</v>
      </c>
      <c r="AZ2345" s="124" t="s">
        <v>117</v>
      </c>
    </row>
    <row r="2346" customHeight="1" spans="51:52">
      <c r="AY2346" s="134">
        <v>69222</v>
      </c>
      <c r="AZ2346" s="124" t="s">
        <v>136</v>
      </c>
    </row>
    <row r="2347" customHeight="1" spans="51:52">
      <c r="AY2347" s="134">
        <v>69251</v>
      </c>
      <c r="AZ2347" s="124" t="s">
        <v>155</v>
      </c>
    </row>
    <row r="2348" customHeight="1" spans="51:52">
      <c r="AY2348" s="134">
        <v>69280</v>
      </c>
      <c r="AZ2348" s="124" t="s">
        <v>174</v>
      </c>
    </row>
    <row r="2349" customHeight="1" spans="51:52">
      <c r="AY2349" s="134">
        <v>69310</v>
      </c>
      <c r="AZ2349" s="124" t="s">
        <v>186</v>
      </c>
    </row>
    <row r="2350" customHeight="1" spans="51:52">
      <c r="AY2350" s="134">
        <v>69339</v>
      </c>
      <c r="AZ2350" s="124" t="s">
        <v>198</v>
      </c>
    </row>
    <row r="2351" customHeight="1" spans="51:52">
      <c r="AY2351" s="134">
        <v>69369</v>
      </c>
      <c r="AZ2351" s="124" t="s">
        <v>233</v>
      </c>
    </row>
    <row r="2352" customHeight="1" spans="51:52">
      <c r="AY2352" s="134">
        <v>69399</v>
      </c>
      <c r="AZ2352" s="124" t="s">
        <v>56</v>
      </c>
    </row>
    <row r="2353" customHeight="1" spans="51:52">
      <c r="AY2353" s="134">
        <v>69428</v>
      </c>
      <c r="AZ2353" s="124" t="s">
        <v>77</v>
      </c>
    </row>
    <row r="2354" customHeight="1" spans="51:52">
      <c r="AY2354" s="134">
        <v>69458</v>
      </c>
      <c r="AZ2354" s="124" t="s">
        <v>63</v>
      </c>
    </row>
    <row r="2355" customHeight="1" spans="51:52">
      <c r="AY2355" s="134">
        <v>69488</v>
      </c>
      <c r="AZ2355" s="124" t="s">
        <v>83</v>
      </c>
    </row>
    <row r="2356" customHeight="1" spans="51:52">
      <c r="AY2356" s="134">
        <v>69518</v>
      </c>
      <c r="AZ2356" s="124" t="s">
        <v>101</v>
      </c>
    </row>
    <row r="2357" customHeight="1" spans="51:52">
      <c r="AY2357" s="134">
        <v>69547</v>
      </c>
      <c r="AZ2357" s="124" t="s">
        <v>117</v>
      </c>
    </row>
    <row r="2358" customHeight="1" spans="51:52">
      <c r="AY2358" s="134">
        <v>69577</v>
      </c>
      <c r="AZ2358" s="124" t="s">
        <v>136</v>
      </c>
    </row>
    <row r="2359" customHeight="1" spans="51:52">
      <c r="AY2359" s="134">
        <v>69606</v>
      </c>
      <c r="AZ2359" s="124" t="s">
        <v>155</v>
      </c>
    </row>
    <row r="2360" customHeight="1" spans="51:52">
      <c r="AY2360" s="134">
        <v>69635</v>
      </c>
      <c r="AZ2360" s="124" t="s">
        <v>174</v>
      </c>
    </row>
    <row r="2361" customHeight="1" spans="51:52">
      <c r="AY2361" s="134">
        <v>69665</v>
      </c>
      <c r="AZ2361" s="124" t="s">
        <v>206</v>
      </c>
    </row>
    <row r="2362" customHeight="1" spans="51:52">
      <c r="AY2362" s="134">
        <v>69694</v>
      </c>
      <c r="AZ2362" s="124" t="s">
        <v>186</v>
      </c>
    </row>
    <row r="2363" customHeight="1" spans="51:52">
      <c r="AY2363" s="134">
        <v>69723</v>
      </c>
      <c r="AZ2363" s="124" t="s">
        <v>198</v>
      </c>
    </row>
    <row r="2364" customHeight="1" spans="51:52">
      <c r="AY2364" s="134">
        <v>69753</v>
      </c>
      <c r="AZ2364" s="124" t="s">
        <v>233</v>
      </c>
    </row>
    <row r="2365" customHeight="1" spans="51:52">
      <c r="AY2365" s="134">
        <v>69783</v>
      </c>
      <c r="AZ2365" s="124" t="s">
        <v>56</v>
      </c>
    </row>
    <row r="2366" customHeight="1" spans="51:52">
      <c r="AY2366" s="134">
        <v>69812</v>
      </c>
      <c r="AZ2366" s="124" t="s">
        <v>77</v>
      </c>
    </row>
    <row r="2367" customHeight="1" spans="51:52">
      <c r="AY2367" s="134">
        <v>69842</v>
      </c>
      <c r="AZ2367" s="124" t="s">
        <v>63</v>
      </c>
    </row>
    <row r="2368" customHeight="1" spans="51:52">
      <c r="AY2368" s="134">
        <v>69872</v>
      </c>
      <c r="AZ2368" s="124" t="s">
        <v>83</v>
      </c>
    </row>
    <row r="2369" customHeight="1" spans="51:52">
      <c r="AY2369" s="134">
        <v>69901</v>
      </c>
      <c r="AZ2369" s="124" t="s">
        <v>101</v>
      </c>
    </row>
    <row r="2370" customHeight="1" spans="51:52">
      <c r="AY2370" s="134">
        <v>69931</v>
      </c>
      <c r="AZ2370" s="124" t="s">
        <v>117</v>
      </c>
    </row>
    <row r="2371" customHeight="1" spans="51:52">
      <c r="AY2371" s="134">
        <v>69960</v>
      </c>
      <c r="AZ2371" s="124" t="s">
        <v>136</v>
      </c>
    </row>
    <row r="2372" customHeight="1" spans="51:52">
      <c r="AY2372" s="134">
        <v>69990</v>
      </c>
      <c r="AZ2372" s="124" t="s">
        <v>155</v>
      </c>
    </row>
    <row r="2373" customHeight="1" spans="51:52">
      <c r="AY2373" s="134">
        <v>70019</v>
      </c>
      <c r="AZ2373" s="124" t="s">
        <v>174</v>
      </c>
    </row>
    <row r="2374" customHeight="1" spans="51:52">
      <c r="AY2374" s="134">
        <v>70049</v>
      </c>
      <c r="AZ2374" s="124" t="s">
        <v>186</v>
      </c>
    </row>
    <row r="2375" customHeight="1" spans="51:52">
      <c r="AY2375" s="134">
        <v>70078</v>
      </c>
      <c r="AZ2375" s="124" t="s">
        <v>198</v>
      </c>
    </row>
    <row r="2376" customHeight="1" spans="51:52">
      <c r="AY2376" s="134">
        <v>70107</v>
      </c>
      <c r="AZ2376" s="124" t="s">
        <v>233</v>
      </c>
    </row>
    <row r="2377" customHeight="1" spans="51:52">
      <c r="AY2377" s="134">
        <v>70137</v>
      </c>
      <c r="AZ2377" s="124" t="s">
        <v>56</v>
      </c>
    </row>
    <row r="2378" customHeight="1" spans="51:52">
      <c r="AY2378" s="134">
        <v>70166</v>
      </c>
      <c r="AZ2378" s="124" t="s">
        <v>77</v>
      </c>
    </row>
    <row r="2379" customHeight="1" spans="51:52">
      <c r="AY2379" s="134">
        <v>70196</v>
      </c>
      <c r="AZ2379" s="124" t="s">
        <v>63</v>
      </c>
    </row>
    <row r="2380" customHeight="1" spans="51:52">
      <c r="AY2380" s="134">
        <v>70226</v>
      </c>
      <c r="AZ2380" s="124" t="s">
        <v>83</v>
      </c>
    </row>
    <row r="2381" customHeight="1" spans="51:52">
      <c r="AY2381" s="134">
        <v>70255</v>
      </c>
      <c r="AZ2381" s="124" t="s">
        <v>101</v>
      </c>
    </row>
    <row r="2382" customHeight="1" spans="51:52">
      <c r="AY2382" s="134">
        <v>70285</v>
      </c>
      <c r="AZ2382" s="124" t="s">
        <v>117</v>
      </c>
    </row>
    <row r="2383" customHeight="1" spans="51:52">
      <c r="AY2383" s="134">
        <v>70315</v>
      </c>
      <c r="AZ2383" s="124" t="s">
        <v>136</v>
      </c>
    </row>
    <row r="2384" customHeight="1" spans="51:52">
      <c r="AY2384" s="134">
        <v>70344</v>
      </c>
      <c r="AZ2384" s="124" t="s">
        <v>155</v>
      </c>
    </row>
    <row r="2385" customHeight="1" spans="51:52">
      <c r="AY2385" s="134">
        <v>70374</v>
      </c>
      <c r="AZ2385" s="124" t="s">
        <v>174</v>
      </c>
    </row>
    <row r="2386" customHeight="1" spans="51:52">
      <c r="AY2386" s="134">
        <v>70403</v>
      </c>
      <c r="AZ2386" s="124" t="s">
        <v>186</v>
      </c>
    </row>
    <row r="2387" customHeight="1" spans="51:52">
      <c r="AY2387" s="134">
        <v>70433</v>
      </c>
      <c r="AZ2387" s="124" t="s">
        <v>198</v>
      </c>
    </row>
    <row r="2388" customHeight="1" spans="51:52">
      <c r="AY2388" s="134">
        <v>70462</v>
      </c>
      <c r="AZ2388" s="124" t="s">
        <v>233</v>
      </c>
    </row>
    <row r="2389" customHeight="1" spans="51:52">
      <c r="AY2389" s="134">
        <v>70492</v>
      </c>
      <c r="AZ2389" s="124" t="s">
        <v>56</v>
      </c>
    </row>
    <row r="2390" customHeight="1" spans="51:52">
      <c r="AY2390" s="134">
        <v>70521</v>
      </c>
      <c r="AZ2390" s="124" t="s">
        <v>77</v>
      </c>
    </row>
    <row r="2391" customHeight="1" spans="51:52">
      <c r="AY2391" s="134">
        <v>70550</v>
      </c>
      <c r="AZ2391" s="124" t="s">
        <v>63</v>
      </c>
    </row>
    <row r="2392" customHeight="1" spans="51:52">
      <c r="AY2392" s="134">
        <v>70580</v>
      </c>
      <c r="AZ2392" s="124" t="s">
        <v>83</v>
      </c>
    </row>
    <row r="2393" customHeight="1" spans="51:52">
      <c r="AY2393" s="134">
        <v>70610</v>
      </c>
      <c r="AZ2393" s="124" t="s">
        <v>101</v>
      </c>
    </row>
    <row r="2394" customHeight="1" spans="51:52">
      <c r="AY2394" s="134">
        <v>70639</v>
      </c>
      <c r="AZ2394" s="124" t="s">
        <v>117</v>
      </c>
    </row>
    <row r="2395" customHeight="1" spans="51:52">
      <c r="AY2395" s="134">
        <v>70669</v>
      </c>
      <c r="AZ2395" s="124" t="s">
        <v>136</v>
      </c>
    </row>
    <row r="2396" customHeight="1" spans="51:52">
      <c r="AY2396" s="134">
        <v>70698</v>
      </c>
      <c r="AZ2396" s="124" t="s">
        <v>392</v>
      </c>
    </row>
    <row r="2397" customHeight="1" spans="51:52">
      <c r="AY2397" s="134">
        <v>70728</v>
      </c>
      <c r="AZ2397" s="124" t="s">
        <v>155</v>
      </c>
    </row>
    <row r="2398" customHeight="1" spans="51:52">
      <c r="AY2398" s="134">
        <v>70758</v>
      </c>
      <c r="AZ2398" s="124" t="s">
        <v>174</v>
      </c>
    </row>
    <row r="2399" customHeight="1" spans="51:52">
      <c r="AY2399" s="134">
        <v>70787</v>
      </c>
      <c r="AZ2399" s="124" t="s">
        <v>186</v>
      </c>
    </row>
    <row r="2400" customHeight="1" spans="51:52">
      <c r="AY2400" s="134">
        <v>70817</v>
      </c>
      <c r="AZ2400" s="124" t="s">
        <v>198</v>
      </c>
    </row>
    <row r="2401" customHeight="1" spans="51:52">
      <c r="AY2401" s="134">
        <v>70846</v>
      </c>
      <c r="AZ2401" s="124" t="s">
        <v>233</v>
      </c>
    </row>
    <row r="2402" customHeight="1" spans="51:52">
      <c r="AY2402" s="134">
        <v>70876</v>
      </c>
      <c r="AZ2402" s="124" t="s">
        <v>56</v>
      </c>
    </row>
    <row r="2403" customHeight="1" spans="51:52">
      <c r="AY2403" s="134">
        <v>70905</v>
      </c>
      <c r="AZ2403" s="124" t="s">
        <v>77</v>
      </c>
    </row>
    <row r="2404" customHeight="1" spans="51:52">
      <c r="AY2404" s="134">
        <v>70934</v>
      </c>
      <c r="AZ2404" s="124" t="s">
        <v>63</v>
      </c>
    </row>
    <row r="2405" customHeight="1" spans="51:52">
      <c r="AY2405" s="134">
        <v>70964</v>
      </c>
      <c r="AZ2405" s="124" t="s">
        <v>83</v>
      </c>
    </row>
    <row r="2406" customHeight="1" spans="51:52">
      <c r="AY2406" s="134">
        <v>70993</v>
      </c>
      <c r="AZ2406" s="124" t="s">
        <v>101</v>
      </c>
    </row>
    <row r="2407" customHeight="1" spans="51:52">
      <c r="AY2407" s="134">
        <v>71023</v>
      </c>
      <c r="AZ2407" s="124" t="s">
        <v>117</v>
      </c>
    </row>
    <row r="2408" customHeight="1" spans="51:52">
      <c r="AY2408" s="134">
        <v>71052</v>
      </c>
      <c r="AZ2408" s="124" t="s">
        <v>136</v>
      </c>
    </row>
    <row r="2409" customHeight="1" spans="51:52">
      <c r="AY2409" s="134">
        <v>71082</v>
      </c>
      <c r="AZ2409" s="124" t="s">
        <v>155</v>
      </c>
    </row>
    <row r="2410" customHeight="1" spans="51:52">
      <c r="AY2410" s="134">
        <v>71112</v>
      </c>
      <c r="AZ2410" s="124" t="s">
        <v>174</v>
      </c>
    </row>
    <row r="2411" customHeight="1" spans="51:52">
      <c r="AY2411" s="134">
        <v>71141</v>
      </c>
      <c r="AZ2411" s="124" t="s">
        <v>186</v>
      </c>
    </row>
    <row r="2412" customHeight="1" spans="51:52">
      <c r="AY2412" s="134">
        <v>71171</v>
      </c>
      <c r="AZ2412" s="124" t="s">
        <v>198</v>
      </c>
    </row>
    <row r="2413" customHeight="1" spans="51:52">
      <c r="AY2413" s="134">
        <v>71201</v>
      </c>
      <c r="AZ2413" s="124" t="s">
        <v>233</v>
      </c>
    </row>
    <row r="2414" customHeight="1" spans="51:52">
      <c r="AY2414" s="134">
        <v>71230</v>
      </c>
      <c r="AZ2414" s="124" t="s">
        <v>56</v>
      </c>
    </row>
    <row r="2415" customHeight="1" spans="51:52">
      <c r="AY2415" s="134">
        <v>71260</v>
      </c>
      <c r="AZ2415" s="124" t="s">
        <v>77</v>
      </c>
    </row>
    <row r="2416" customHeight="1" spans="51:52">
      <c r="AY2416" s="134">
        <v>71289</v>
      </c>
      <c r="AZ2416" s="124" t="s">
        <v>63</v>
      </c>
    </row>
    <row r="2417" customHeight="1" spans="51:52">
      <c r="AY2417" s="134">
        <v>71319</v>
      </c>
      <c r="AZ2417" s="124" t="s">
        <v>83</v>
      </c>
    </row>
    <row r="2418" customHeight="1" spans="51:52">
      <c r="AY2418" s="134">
        <v>71348</v>
      </c>
      <c r="AZ2418" s="124" t="s">
        <v>101</v>
      </c>
    </row>
    <row r="2419" customHeight="1" spans="51:52">
      <c r="AY2419" s="134">
        <v>71377</v>
      </c>
      <c r="AZ2419" s="124" t="s">
        <v>117</v>
      </c>
    </row>
    <row r="2420" customHeight="1" spans="51:52">
      <c r="AY2420" s="134">
        <v>71407</v>
      </c>
      <c r="AZ2420" s="124" t="s">
        <v>136</v>
      </c>
    </row>
    <row r="2421" customHeight="1" spans="51:52">
      <c r="AY2421" s="134">
        <v>71436</v>
      </c>
      <c r="AZ2421" s="124" t="s">
        <v>155</v>
      </c>
    </row>
    <row r="2422" customHeight="1" spans="51:52">
      <c r="AY2422" s="134">
        <v>71466</v>
      </c>
      <c r="AZ2422" s="124" t="s">
        <v>174</v>
      </c>
    </row>
    <row r="2423" customHeight="1" spans="51:52">
      <c r="AY2423" s="134">
        <v>71495</v>
      </c>
      <c r="AZ2423" s="124" t="s">
        <v>186</v>
      </c>
    </row>
    <row r="2424" customHeight="1" spans="51:52">
      <c r="AY2424" s="134">
        <v>71525</v>
      </c>
      <c r="AZ2424" s="124" t="s">
        <v>198</v>
      </c>
    </row>
    <row r="2425" customHeight="1" spans="51:52">
      <c r="AY2425" s="134">
        <v>71555</v>
      </c>
      <c r="AZ2425" s="124" t="s">
        <v>233</v>
      </c>
    </row>
    <row r="2426" customHeight="1" spans="51:52">
      <c r="AY2426" s="134">
        <v>71585</v>
      </c>
      <c r="AZ2426" s="124" t="s">
        <v>56</v>
      </c>
    </row>
    <row r="2427" customHeight="1" spans="51:52">
      <c r="AY2427" s="134">
        <v>71614</v>
      </c>
      <c r="AZ2427" s="124" t="s">
        <v>77</v>
      </c>
    </row>
    <row r="2428" customHeight="1" spans="51:52">
      <c r="AY2428" s="134">
        <v>71644</v>
      </c>
      <c r="AZ2428" s="124" t="s">
        <v>63</v>
      </c>
    </row>
    <row r="2429" customHeight="1" spans="51:52">
      <c r="AY2429" s="134">
        <v>71673</v>
      </c>
      <c r="AZ2429" s="124" t="s">
        <v>83</v>
      </c>
    </row>
    <row r="2430" customHeight="1" spans="51:52">
      <c r="AY2430" s="134">
        <v>71703</v>
      </c>
      <c r="AZ2430" s="124" t="s">
        <v>101</v>
      </c>
    </row>
    <row r="2431" customHeight="1" spans="51:52">
      <c r="AY2431" s="134">
        <v>71732</v>
      </c>
      <c r="AZ2431" s="124" t="s">
        <v>384</v>
      </c>
    </row>
    <row r="2432" customHeight="1" spans="51:52">
      <c r="AY2432" s="134">
        <v>71761</v>
      </c>
      <c r="AZ2432" s="124" t="s">
        <v>117</v>
      </c>
    </row>
    <row r="2433" customHeight="1" spans="51:52">
      <c r="AY2433" s="134">
        <v>71791</v>
      </c>
      <c r="AZ2433" s="124" t="s">
        <v>136</v>
      </c>
    </row>
    <row r="2434" customHeight="1" spans="51:52">
      <c r="AY2434" s="134">
        <v>71820</v>
      </c>
      <c r="AZ2434" s="124" t="s">
        <v>155</v>
      </c>
    </row>
    <row r="2435" customHeight="1" spans="51:52">
      <c r="AY2435" s="134">
        <v>71849</v>
      </c>
      <c r="AZ2435" s="124" t="s">
        <v>174</v>
      </c>
    </row>
    <row r="2436" customHeight="1" spans="51:52">
      <c r="AY2436" s="134">
        <v>71879</v>
      </c>
      <c r="AZ2436" s="124" t="s">
        <v>186</v>
      </c>
    </row>
    <row r="2437" customHeight="1" spans="51:52">
      <c r="AY2437" s="134">
        <v>71909</v>
      </c>
      <c r="AZ2437" s="124" t="s">
        <v>198</v>
      </c>
    </row>
    <row r="2438" customHeight="1" spans="51:52">
      <c r="AY2438" s="134">
        <v>71939</v>
      </c>
      <c r="AZ2438" s="124" t="s">
        <v>233</v>
      </c>
    </row>
    <row r="2439" customHeight="1" spans="51:52">
      <c r="AY2439" s="134">
        <v>71968</v>
      </c>
      <c r="AZ2439" s="124" t="s">
        <v>56</v>
      </c>
    </row>
    <row r="2440" customHeight="1" spans="51:52">
      <c r="AY2440" s="134">
        <v>71998</v>
      </c>
      <c r="AZ2440" s="124" t="s">
        <v>77</v>
      </c>
    </row>
    <row r="2441" customHeight="1" spans="51:52">
      <c r="AY2441" s="134">
        <v>72028</v>
      </c>
      <c r="AZ2441" s="124" t="s">
        <v>63</v>
      </c>
    </row>
    <row r="2442" customHeight="1" spans="51:52">
      <c r="AY2442" s="134">
        <v>72057</v>
      </c>
      <c r="AZ2442" s="124" t="s">
        <v>83</v>
      </c>
    </row>
    <row r="2443" customHeight="1" spans="51:52">
      <c r="AY2443" s="134">
        <v>72087</v>
      </c>
      <c r="AZ2443" s="124" t="s">
        <v>101</v>
      </c>
    </row>
    <row r="2444" customHeight="1" spans="51:52">
      <c r="AY2444" s="134">
        <v>72116</v>
      </c>
      <c r="AZ2444" s="124" t="s">
        <v>117</v>
      </c>
    </row>
    <row r="2445" customHeight="1" spans="51:52">
      <c r="AY2445" s="134">
        <v>72145</v>
      </c>
      <c r="AZ2445" s="124" t="s">
        <v>136</v>
      </c>
    </row>
    <row r="2446" customHeight="1" spans="51:52">
      <c r="AY2446" s="134">
        <v>72174</v>
      </c>
      <c r="AZ2446" s="124" t="s">
        <v>155</v>
      </c>
    </row>
    <row r="2447" customHeight="1" spans="51:52">
      <c r="AY2447" s="134">
        <v>72204</v>
      </c>
      <c r="AZ2447" s="124" t="s">
        <v>174</v>
      </c>
    </row>
    <row r="2448" customHeight="1" spans="51:52">
      <c r="AY2448" s="134">
        <v>72233</v>
      </c>
      <c r="AZ2448" s="124" t="s">
        <v>186</v>
      </c>
    </row>
    <row r="2449" customHeight="1" spans="51:52">
      <c r="AY2449" s="134">
        <v>72263</v>
      </c>
      <c r="AZ2449" s="124" t="s">
        <v>198</v>
      </c>
    </row>
    <row r="2450" customHeight="1" spans="51:52">
      <c r="AY2450" s="134">
        <v>72293</v>
      </c>
      <c r="AZ2450" s="124" t="s">
        <v>233</v>
      </c>
    </row>
    <row r="2451" customHeight="1" spans="51:52">
      <c r="AY2451" s="134">
        <v>72322</v>
      </c>
      <c r="AZ2451" s="124" t="s">
        <v>56</v>
      </c>
    </row>
    <row r="2452" customHeight="1" spans="51:52">
      <c r="AY2452" s="134">
        <v>72352</v>
      </c>
      <c r="AZ2452" s="124" t="s">
        <v>77</v>
      </c>
    </row>
    <row r="2453" customHeight="1" spans="51:52">
      <c r="AY2453" s="134">
        <v>72382</v>
      </c>
      <c r="AZ2453" s="124" t="s">
        <v>63</v>
      </c>
    </row>
    <row r="2454" customHeight="1" spans="51:52">
      <c r="AY2454" s="134">
        <v>72412</v>
      </c>
      <c r="AZ2454" s="124" t="s">
        <v>83</v>
      </c>
    </row>
    <row r="2455" customHeight="1" spans="51:52">
      <c r="AY2455" s="134">
        <v>72441</v>
      </c>
      <c r="AZ2455" s="124" t="s">
        <v>101</v>
      </c>
    </row>
    <row r="2456" customHeight="1" spans="51:52">
      <c r="AY2456" s="134">
        <v>72471</v>
      </c>
      <c r="AZ2456" s="124" t="s">
        <v>117</v>
      </c>
    </row>
    <row r="2457" customHeight="1" spans="51:52">
      <c r="AY2457" s="134">
        <v>72500</v>
      </c>
      <c r="AZ2457" s="124" t="s">
        <v>136</v>
      </c>
    </row>
    <row r="2458" customHeight="1" spans="51:52">
      <c r="AY2458" s="134">
        <v>72529</v>
      </c>
      <c r="AZ2458" s="124" t="s">
        <v>155</v>
      </c>
    </row>
    <row r="2459" customHeight="1" spans="51:52">
      <c r="AY2459" s="134">
        <v>72558</v>
      </c>
      <c r="AZ2459" s="124" t="s">
        <v>174</v>
      </c>
    </row>
    <row r="2460" customHeight="1" spans="51:52">
      <c r="AY2460" s="134">
        <v>72588</v>
      </c>
      <c r="AZ2460" s="124" t="s">
        <v>186</v>
      </c>
    </row>
    <row r="2461" customHeight="1" spans="51:52">
      <c r="AY2461" s="134">
        <v>72617</v>
      </c>
      <c r="AZ2461" s="124" t="s">
        <v>198</v>
      </c>
    </row>
    <row r="2462" customHeight="1" spans="51:52">
      <c r="AY2462" s="134">
        <v>72647</v>
      </c>
      <c r="AZ2462" s="124" t="s">
        <v>233</v>
      </c>
    </row>
    <row r="2463" customHeight="1" spans="51:52">
      <c r="AY2463" s="134">
        <v>72676</v>
      </c>
      <c r="AZ2463" s="124" t="s">
        <v>56</v>
      </c>
    </row>
    <row r="2464" customHeight="1" spans="51:52">
      <c r="AY2464" s="134">
        <v>72706</v>
      </c>
      <c r="AZ2464" s="124" t="s">
        <v>77</v>
      </c>
    </row>
    <row r="2465" customHeight="1" spans="51:52">
      <c r="AY2465" s="134">
        <v>72736</v>
      </c>
      <c r="AZ2465" s="124" t="s">
        <v>63</v>
      </c>
    </row>
    <row r="2466" customHeight="1" spans="51:52">
      <c r="AY2466" s="134">
        <v>72766</v>
      </c>
      <c r="AZ2466" s="124" t="s">
        <v>391</v>
      </c>
    </row>
    <row r="2467" customHeight="1" spans="51:52">
      <c r="AY2467" s="134">
        <v>72795</v>
      </c>
      <c r="AZ2467" s="124" t="s">
        <v>83</v>
      </c>
    </row>
    <row r="2468" customHeight="1" spans="51:52">
      <c r="AY2468" s="134">
        <v>72825</v>
      </c>
      <c r="AZ2468" s="124" t="s">
        <v>101</v>
      </c>
    </row>
    <row r="2469" customHeight="1" spans="51:52">
      <c r="AY2469" s="134">
        <v>72855</v>
      </c>
      <c r="AZ2469" s="124" t="s">
        <v>117</v>
      </c>
    </row>
    <row r="2470" customHeight="1" spans="51:52">
      <c r="AY2470" s="134">
        <v>72884</v>
      </c>
      <c r="AZ2470" s="124" t="s">
        <v>136</v>
      </c>
    </row>
    <row r="2471" customHeight="1" spans="51:52">
      <c r="AY2471" s="134">
        <v>72913</v>
      </c>
      <c r="AZ2471" s="124" t="s">
        <v>155</v>
      </c>
    </row>
    <row r="2472" customHeight="1" spans="51:52">
      <c r="AY2472" s="134">
        <v>72943</v>
      </c>
      <c r="AZ2472" s="124" t="s">
        <v>174</v>
      </c>
    </row>
    <row r="2473" customHeight="1" spans="51:52">
      <c r="AY2473" s="134">
        <v>72972</v>
      </c>
      <c r="AZ2473" s="124" t="s">
        <v>186</v>
      </c>
    </row>
    <row r="2474" customHeight="1" spans="51:52">
      <c r="AY2474" s="134">
        <v>73001</v>
      </c>
      <c r="AZ2474" s="124" t="s">
        <v>198</v>
      </c>
    </row>
    <row r="2475" customHeight="1" spans="51:52">
      <c r="AY2475" s="134">
        <v>73031</v>
      </c>
      <c r="AZ2475" s="124" t="s">
        <v>233</v>
      </c>
    </row>
    <row r="2476" customHeight="1" spans="51:52">
      <c r="AY2476" s="134">
        <v>73060</v>
      </c>
      <c r="AZ2476" s="124" t="s">
        <v>56</v>
      </c>
    </row>
    <row r="2477" customHeight="1" spans="51:52">
      <c r="AY2477" s="134">
        <v>73090</v>
      </c>
      <c r="AZ2477" s="124" t="s">
        <v>77</v>
      </c>
    </row>
    <row r="2478" customHeight="1" spans="51:52">
      <c r="AY2478" s="134">
        <v>73120</v>
      </c>
      <c r="AZ2478" s="124" t="s">
        <v>63</v>
      </c>
    </row>
    <row r="2479" customHeight="1" spans="51:52">
      <c r="AY2479" s="134">
        <v>73150</v>
      </c>
      <c r="AZ2479" s="124" t="s">
        <v>83</v>
      </c>
    </row>
    <row r="2480" customHeight="1" spans="51:52">
      <c r="AY2480" s="134">
        <v>73179</v>
      </c>
      <c r="AZ2480" s="124" t="s">
        <v>101</v>
      </c>
    </row>
    <row r="2481" customHeight="1" spans="51:52">
      <c r="AY2481" s="134">
        <v>73209</v>
      </c>
      <c r="AZ2481" s="124" t="s">
        <v>117</v>
      </c>
    </row>
    <row r="2482" customHeight="1" spans="51:52">
      <c r="AY2482" s="134">
        <v>73238</v>
      </c>
      <c r="AZ2482" s="124" t="s">
        <v>136</v>
      </c>
    </row>
    <row r="2483" customHeight="1" spans="51:52">
      <c r="AY2483" s="134">
        <v>73268</v>
      </c>
      <c r="AZ2483" s="124" t="s">
        <v>155</v>
      </c>
    </row>
    <row r="2484" customHeight="1" spans="51:52">
      <c r="AY2484" s="134">
        <v>73297</v>
      </c>
      <c r="AZ2484" s="124" t="s">
        <v>174</v>
      </c>
    </row>
    <row r="2485" customHeight="1" spans="51:52">
      <c r="AY2485" s="134">
        <v>73327</v>
      </c>
      <c r="AZ2485" s="124" t="s">
        <v>186</v>
      </c>
    </row>
    <row r="2486" customHeight="1" spans="51:52">
      <c r="AY2486" s="134">
        <v>73356</v>
      </c>
      <c r="AZ2486" s="124" t="s">
        <v>198</v>
      </c>
    </row>
    <row r="2487" customHeight="1" spans="51:52">
      <c r="AY2487" s="134">
        <v>73385</v>
      </c>
      <c r="AZ2487" s="124" t="s">
        <v>233</v>
      </c>
    </row>
    <row r="2488" customHeight="1" spans="51:52">
      <c r="AY2488" s="134">
        <v>73415</v>
      </c>
      <c r="AZ2488" s="124" t="s">
        <v>56</v>
      </c>
    </row>
  </sheetData>
  <mergeCells count="3">
    <mergeCell ref="E1:H1"/>
    <mergeCell ref="K1:L1"/>
    <mergeCell ref="M1:N1"/>
  </mergeCells>
  <dataValidations count="3">
    <dataValidation type="list" allowBlank="1" showInputMessage="1" showErrorMessage="1" sqref="B34">
      <formula1>"星期日,星期一"</formula1>
    </dataValidation>
    <dataValidation type="list" allowBlank="1" showInputMessage="1" showErrorMessage="1" sqref="B35">
      <formula1>"1-Sun,2-SUN,3-Sunday,4-SUNDAY,5-星期日,6-日"</formula1>
    </dataValidation>
    <dataValidation type="list" allowBlank="1" showInputMessage="1" showErrorMessage="1" sqref="B38">
      <formula1>"1-JANUARY,2-January,3-Jan,4-一月"</formula1>
    </dataValidation>
  </dataValidations>
  <pageMargins left="0.699305555555556" right="0.699305555555556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B2:N37"/>
  <sheetViews>
    <sheetView workbookViewId="0">
      <selection activeCell="I18" sqref="I18"/>
    </sheetView>
  </sheetViews>
  <sheetFormatPr defaultColWidth="9" defaultRowHeight="12"/>
  <cols>
    <col min="1" max="2" width="9" style="55"/>
    <col min="3" max="3" width="3.5" style="55" customWidth="1"/>
    <col min="4" max="4" width="11.125" style="55" customWidth="1"/>
    <col min="5" max="5" width="18.75" style="55" customWidth="1"/>
    <col min="6" max="6" width="4.25" style="55" customWidth="1"/>
    <col min="7" max="7" width="6.75" style="55" customWidth="1"/>
    <col min="8" max="8" width="4.125" style="55" customWidth="1"/>
    <col min="9" max="9" width="16" style="55" customWidth="1"/>
    <col min="10" max="10" width="26" style="55" customWidth="1"/>
    <col min="11" max="11" width="2.875" style="55" customWidth="1"/>
    <col min="12" max="12" width="9.875" style="55" customWidth="1"/>
    <col min="13" max="13" width="3.875" style="55" customWidth="1"/>
    <col min="14" max="16384" width="9" style="55"/>
  </cols>
  <sheetData>
    <row r="2" ht="21.95" customHeight="1" spans="3:13">
      <c r="C2" s="56"/>
      <c r="D2" s="57" t="s">
        <v>408</v>
      </c>
      <c r="E2" s="58"/>
      <c r="F2" s="59"/>
      <c r="H2" s="60" t="s">
        <v>409</v>
      </c>
      <c r="I2" s="90"/>
      <c r="J2" s="90"/>
      <c r="K2" s="90"/>
      <c r="L2" s="90"/>
      <c r="M2" s="91"/>
    </row>
    <row r="3" ht="21.95" customHeight="1" spans="2:14">
      <c r="B3" s="61"/>
      <c r="C3" s="62"/>
      <c r="D3" s="63"/>
      <c r="E3" s="63"/>
      <c r="F3" s="64"/>
      <c r="G3" s="65"/>
      <c r="H3" s="62"/>
      <c r="I3" s="92" t="s">
        <v>410</v>
      </c>
      <c r="J3" s="63"/>
      <c r="K3" s="63"/>
      <c r="L3" s="93" t="str">
        <f>TEXT(DEC2HEX(E6),"00")&amp;TEXT(DEC2HEX(E7),"00")&amp;TEXT(DEC2HEX(E8),"00")</f>
        <v>B86403</v>
      </c>
      <c r="M3" s="64"/>
      <c r="N3" s="94"/>
    </row>
    <row r="4" ht="21.95" customHeight="1" spans="2:14">
      <c r="B4" s="61"/>
      <c r="C4" s="66"/>
      <c r="D4" s="67" t="s">
        <v>411</v>
      </c>
      <c r="E4" s="68" t="s">
        <v>412</v>
      </c>
      <c r="F4" s="69"/>
      <c r="G4" s="65"/>
      <c r="H4" s="66"/>
      <c r="I4" s="95" t="s">
        <v>413</v>
      </c>
      <c r="J4" s="96"/>
      <c r="L4" s="97" t="s">
        <v>414</v>
      </c>
      <c r="M4" s="69"/>
      <c r="N4" s="94"/>
    </row>
    <row r="5" ht="21.95" customHeight="1" spans="2:14">
      <c r="B5" s="61"/>
      <c r="C5" s="70"/>
      <c r="D5" s="67"/>
      <c r="E5" s="71"/>
      <c r="F5" s="69"/>
      <c r="G5" s="65"/>
      <c r="H5" s="66"/>
      <c r="I5" s="95" t="s">
        <v>415</v>
      </c>
      <c r="J5" s="98"/>
      <c r="L5" s="97" t="s">
        <v>416</v>
      </c>
      <c r="M5" s="69"/>
      <c r="N5" s="94"/>
    </row>
    <row r="6" ht="21.95" customHeight="1" spans="2:14">
      <c r="B6" s="61"/>
      <c r="C6" s="70"/>
      <c r="D6" s="72" t="s">
        <v>417</v>
      </c>
      <c r="E6" s="68">
        <v>184</v>
      </c>
      <c r="F6" s="69"/>
      <c r="G6" s="65"/>
      <c r="H6" s="66"/>
      <c r="I6" s="95" t="s">
        <v>418</v>
      </c>
      <c r="J6" s="99"/>
      <c r="L6" s="97" t="s">
        <v>419</v>
      </c>
      <c r="M6" s="69"/>
      <c r="N6" s="94"/>
    </row>
    <row r="7" ht="21.95" customHeight="1" spans="2:14">
      <c r="B7" s="61"/>
      <c r="C7" s="70"/>
      <c r="D7" s="67" t="s">
        <v>420</v>
      </c>
      <c r="E7" s="68">
        <v>100</v>
      </c>
      <c r="F7" s="73"/>
      <c r="G7" s="65"/>
      <c r="H7" s="66"/>
      <c r="I7" s="95" t="s">
        <v>421</v>
      </c>
      <c r="J7" s="100"/>
      <c r="L7" s="97" t="s">
        <v>422</v>
      </c>
      <c r="M7" s="69"/>
      <c r="N7" s="94"/>
    </row>
    <row r="8" ht="21.95" customHeight="1" spans="2:14">
      <c r="B8" s="61"/>
      <c r="C8" s="66"/>
      <c r="D8" s="67" t="s">
        <v>423</v>
      </c>
      <c r="E8" s="68">
        <v>3</v>
      </c>
      <c r="F8" s="73"/>
      <c r="G8" s="65"/>
      <c r="H8" s="66"/>
      <c r="I8" s="95" t="s">
        <v>424</v>
      </c>
      <c r="J8" s="101"/>
      <c r="L8" s="97" t="s">
        <v>425</v>
      </c>
      <c r="M8" s="69"/>
      <c r="N8" s="94"/>
    </row>
    <row r="9" ht="21.95" customHeight="1" spans="2:14">
      <c r="B9" s="61"/>
      <c r="C9" s="66"/>
      <c r="D9" s="74"/>
      <c r="E9" s="75">
        <f>颜色十进制</f>
        <v>4616993</v>
      </c>
      <c r="F9" s="76">
        <f>HEX2DEC(E9)</f>
        <v>73492883</v>
      </c>
      <c r="G9" s="65"/>
      <c r="H9" s="66"/>
      <c r="I9" s="95" t="s">
        <v>426</v>
      </c>
      <c r="J9" s="102"/>
      <c r="L9" s="140" t="s">
        <v>427</v>
      </c>
      <c r="M9" s="69"/>
      <c r="N9" s="94"/>
    </row>
    <row r="10" ht="21.95" customHeight="1" spans="2:14">
      <c r="B10" s="61"/>
      <c r="C10" s="77"/>
      <c r="D10" s="78" t="s">
        <v>428</v>
      </c>
      <c r="E10" s="79"/>
      <c r="F10" s="80"/>
      <c r="G10" s="65"/>
      <c r="H10" s="66"/>
      <c r="I10" s="95" t="s">
        <v>429</v>
      </c>
      <c r="J10" s="103"/>
      <c r="L10" s="97" t="s">
        <v>430</v>
      </c>
      <c r="M10" s="69"/>
      <c r="N10" s="94"/>
    </row>
    <row r="11" ht="21.95" customHeight="1" spans="2:14">
      <c r="B11" s="61"/>
      <c r="C11" s="77"/>
      <c r="D11" s="81"/>
      <c r="E11" s="82"/>
      <c r="F11" s="80"/>
      <c r="G11" s="65"/>
      <c r="H11" s="66"/>
      <c r="I11" s="95" t="s">
        <v>431</v>
      </c>
      <c r="J11" s="104"/>
      <c r="L11" s="97" t="s">
        <v>432</v>
      </c>
      <c r="M11" s="69"/>
      <c r="N11" s="94"/>
    </row>
    <row r="12" ht="21.95" customHeight="1" spans="2:14">
      <c r="B12" s="61"/>
      <c r="C12" s="77"/>
      <c r="D12" s="83"/>
      <c r="E12" s="82"/>
      <c r="F12" s="80"/>
      <c r="G12" s="65"/>
      <c r="H12" s="66"/>
      <c r="I12" s="95" t="s">
        <v>433</v>
      </c>
      <c r="J12" s="105"/>
      <c r="L12" s="97" t="s">
        <v>434</v>
      </c>
      <c r="M12" s="69"/>
      <c r="N12" s="94"/>
    </row>
    <row r="13" ht="21.95" customHeight="1" spans="2:14">
      <c r="B13" s="61"/>
      <c r="C13" s="77"/>
      <c r="D13" s="81"/>
      <c r="E13" s="82"/>
      <c r="F13" s="80"/>
      <c r="G13" s="65"/>
      <c r="H13" s="66"/>
      <c r="I13" s="95" t="s">
        <v>435</v>
      </c>
      <c r="J13" s="106"/>
      <c r="L13" s="97" t="s">
        <v>436</v>
      </c>
      <c r="M13" s="69"/>
      <c r="N13" s="94"/>
    </row>
    <row r="14" ht="21.95" customHeight="1" spans="2:14">
      <c r="B14" s="61"/>
      <c r="C14" s="77"/>
      <c r="D14" s="81"/>
      <c r="E14" s="82"/>
      <c r="F14" s="80"/>
      <c r="G14" s="65"/>
      <c r="H14" s="66"/>
      <c r="I14" s="95" t="s">
        <v>437</v>
      </c>
      <c r="J14" s="107"/>
      <c r="L14" s="97" t="s">
        <v>438</v>
      </c>
      <c r="M14" s="69"/>
      <c r="N14" s="94"/>
    </row>
    <row r="15" ht="21.95" customHeight="1" spans="2:14">
      <c r="B15" s="61"/>
      <c r="C15" s="77"/>
      <c r="D15" s="81"/>
      <c r="E15" s="82"/>
      <c r="F15" s="80"/>
      <c r="G15" s="65"/>
      <c r="H15" s="66"/>
      <c r="I15" s="95" t="s">
        <v>412</v>
      </c>
      <c r="J15" s="108"/>
      <c r="L15" s="97">
        <v>467321</v>
      </c>
      <c r="M15" s="69"/>
      <c r="N15" s="94"/>
    </row>
    <row r="16" ht="21.95" customHeight="1" spans="2:14">
      <c r="B16" s="61"/>
      <c r="C16" s="77"/>
      <c r="D16" s="84"/>
      <c r="E16" s="85"/>
      <c r="F16" s="80"/>
      <c r="G16" s="65"/>
      <c r="H16" s="66"/>
      <c r="I16" s="95" t="s">
        <v>439</v>
      </c>
      <c r="J16" s="109"/>
      <c r="L16" s="97" t="s">
        <v>440</v>
      </c>
      <c r="M16" s="69"/>
      <c r="N16" s="94"/>
    </row>
    <row r="17" ht="21.95" customHeight="1" spans="2:14">
      <c r="B17" s="61"/>
      <c r="C17" s="86"/>
      <c r="D17" s="87"/>
      <c r="E17" s="87"/>
      <c r="F17" s="88"/>
      <c r="G17" s="65"/>
      <c r="H17" s="86"/>
      <c r="I17" s="110"/>
      <c r="J17" s="110"/>
      <c r="K17" s="110"/>
      <c r="L17" s="110"/>
      <c r="M17" s="88"/>
      <c r="N17" s="94"/>
    </row>
    <row r="18" ht="21.95" customHeight="1" spans="3:13">
      <c r="C18" s="89"/>
      <c r="D18" s="89"/>
      <c r="E18" s="89"/>
      <c r="F18" s="89"/>
      <c r="H18" s="89"/>
      <c r="I18" s="89"/>
      <c r="J18" s="89"/>
      <c r="K18" s="89"/>
      <c r="L18" s="89"/>
      <c r="M18" s="89"/>
    </row>
    <row r="19" ht="21.95" customHeight="1"/>
    <row r="20" ht="21.95" customHeight="1"/>
    <row r="21" ht="21.95" customHeight="1"/>
    <row r="22" ht="21.95" customHeight="1"/>
    <row r="23" ht="21.95" customHeight="1"/>
    <row r="24" ht="21.95" customHeight="1"/>
    <row r="25" ht="21.95" customHeight="1"/>
    <row r="26" ht="21.95" customHeight="1"/>
    <row r="27" ht="21.95" customHeight="1"/>
    <row r="28" ht="21.95" customHeight="1"/>
    <row r="29" ht="21.95" customHeight="1"/>
    <row r="30" ht="21.95" customHeight="1"/>
    <row r="31" ht="21.95" customHeight="1"/>
    <row r="32" ht="21.95" customHeight="1"/>
    <row r="33" ht="21.95" customHeight="1"/>
    <row r="34" ht="21.95" customHeight="1"/>
    <row r="35" ht="21.95" customHeight="1"/>
    <row r="36" ht="21.95" customHeight="1"/>
    <row r="37" ht="21.95" customHeight="1"/>
  </sheetData>
  <mergeCells count="3">
    <mergeCell ref="D2:F2"/>
    <mergeCell ref="H2:M2"/>
    <mergeCell ref="D10:E16"/>
  </mergeCells>
  <dataValidations count="1">
    <dataValidation type="list" allowBlank="1" showInputMessage="1" showErrorMessage="1" sqref="F3 E4">
      <formula1>"自定义,晒黑,结实的树,沙棕色,巧克力,淡珊瑚色,栗色,银白色,深灰色,深紫罗兰色,深兰花紫,春天的绿色,海洋绿,深青色"</formula1>
    </dataValidation>
  </dataValidations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X39"/>
  <sheetViews>
    <sheetView workbookViewId="0">
      <selection activeCell="AB19" sqref="AB19"/>
    </sheetView>
  </sheetViews>
  <sheetFormatPr defaultColWidth="9" defaultRowHeight="30.95" customHeight="1"/>
  <cols>
    <col min="1" max="1" width="2.625" style="1" customWidth="1"/>
    <col min="2" max="8" width="3.75" style="2" customWidth="1"/>
    <col min="9" max="9" width="1.625" style="1" customWidth="1"/>
    <col min="10" max="16" width="3.75" style="1" customWidth="1"/>
    <col min="17" max="17" width="1.875" style="1" customWidth="1"/>
    <col min="18" max="24" width="3.75" style="1" customWidth="1"/>
    <col min="25" max="25" width="2.5" style="1" customWidth="1"/>
    <col min="26" max="16384" width="9" style="1"/>
  </cols>
  <sheetData>
    <row r="1" ht="18.75" customHeight="1" spans="1:24">
      <c r="A1" s="27"/>
      <c r="B1" s="28" t="s">
        <v>441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</row>
    <row r="2" ht="27.75" customHeight="1" spans="1:24">
      <c r="A2" s="4"/>
      <c r="B2" s="29"/>
      <c r="C2" s="30">
        <f>选择的年</f>
        <v>2020</v>
      </c>
      <c r="D2" s="30"/>
      <c r="E2" s="31" t="s">
        <v>442</v>
      </c>
      <c r="F2" s="29"/>
      <c r="G2" s="32"/>
      <c r="H2" s="32"/>
      <c r="I2" s="46"/>
      <c r="J2" s="29"/>
      <c r="K2" s="47"/>
      <c r="L2" s="46"/>
      <c r="M2" s="46"/>
      <c r="N2" s="46"/>
      <c r="O2" s="46"/>
      <c r="P2" s="46"/>
      <c r="Q2" s="46"/>
      <c r="R2" s="46"/>
      <c r="S2" s="46"/>
      <c r="T2" s="53" t="str">
        <f ca="1">天干年&amp;地支年&amp;"·"&amp;生肖&amp;"年"</f>
        <v>庚子·鼠年</v>
      </c>
      <c r="U2" s="53"/>
      <c r="V2" s="53"/>
      <c r="W2" s="53"/>
      <c r="X2" s="53"/>
    </row>
    <row r="3" ht="9" customHeight="1"/>
    <row r="4" ht="20.1" customHeight="1" spans="2:24">
      <c r="B4" s="33" t="str">
        <f>显示一月</f>
        <v>一月</v>
      </c>
      <c r="C4" s="34"/>
      <c r="D4" s="34"/>
      <c r="E4" s="34"/>
      <c r="F4" s="34"/>
      <c r="G4" s="34"/>
      <c r="H4" s="34"/>
      <c r="I4" s="48"/>
      <c r="J4" s="33" t="str">
        <f>显示二月</f>
        <v>二月</v>
      </c>
      <c r="K4" s="34"/>
      <c r="L4" s="34"/>
      <c r="M4" s="34"/>
      <c r="N4" s="34"/>
      <c r="O4" s="34"/>
      <c r="P4" s="34"/>
      <c r="Q4" s="48"/>
      <c r="R4" s="33" t="str">
        <f>显示三月</f>
        <v>三月</v>
      </c>
      <c r="S4" s="34"/>
      <c r="T4" s="34"/>
      <c r="U4" s="34"/>
      <c r="V4" s="34"/>
      <c r="W4" s="34"/>
      <c r="X4" s="34"/>
    </row>
    <row r="5" ht="20.1" customHeight="1" spans="2:24">
      <c r="B5" s="35" t="s">
        <v>55</v>
      </c>
      <c r="C5" s="36" t="s">
        <v>76</v>
      </c>
      <c r="D5" s="36" t="s">
        <v>96</v>
      </c>
      <c r="E5" s="36" t="s">
        <v>113</v>
      </c>
      <c r="F5" s="36" t="s">
        <v>130</v>
      </c>
      <c r="G5" s="36" t="s">
        <v>149</v>
      </c>
      <c r="H5" s="37" t="s">
        <v>168</v>
      </c>
      <c r="I5" s="49"/>
      <c r="J5" s="35" t="s">
        <v>55</v>
      </c>
      <c r="K5" s="36" t="s">
        <v>76</v>
      </c>
      <c r="L5" s="36" t="s">
        <v>96</v>
      </c>
      <c r="M5" s="36" t="s">
        <v>113</v>
      </c>
      <c r="N5" s="36" t="s">
        <v>130</v>
      </c>
      <c r="O5" s="36" t="s">
        <v>149</v>
      </c>
      <c r="P5" s="37" t="s">
        <v>168</v>
      </c>
      <c r="Q5" s="49"/>
      <c r="R5" s="35" t="s">
        <v>55</v>
      </c>
      <c r="S5" s="36" t="s">
        <v>76</v>
      </c>
      <c r="T5" s="36" t="s">
        <v>96</v>
      </c>
      <c r="U5" s="36" t="s">
        <v>113</v>
      </c>
      <c r="V5" s="36" t="s">
        <v>130</v>
      </c>
      <c r="W5" s="36" t="s">
        <v>149</v>
      </c>
      <c r="X5" s="37" t="s">
        <v>168</v>
      </c>
    </row>
    <row r="6" ht="20.1" customHeight="1" spans="2:24">
      <c r="B6" s="38">
        <f t="shared" ref="B6:H11" si="0">年历一显示阳历日一月</f>
        <v>43828</v>
      </c>
      <c r="C6" s="39">
        <f t="shared" si="0"/>
        <v>43829</v>
      </c>
      <c r="D6" s="39">
        <f t="shared" si="0"/>
        <v>43830</v>
      </c>
      <c r="E6" s="39">
        <f t="shared" si="0"/>
        <v>43831</v>
      </c>
      <c r="F6" s="39">
        <f t="shared" si="0"/>
        <v>43832</v>
      </c>
      <c r="G6" s="39">
        <f t="shared" si="0"/>
        <v>43833</v>
      </c>
      <c r="H6" s="40">
        <f t="shared" si="0"/>
        <v>43834</v>
      </c>
      <c r="I6" s="50"/>
      <c r="J6" s="38">
        <f t="shared" ref="J6:P11" si="1">年历一显示阳历日二月</f>
        <v>43856</v>
      </c>
      <c r="K6" s="39">
        <f t="shared" si="1"/>
        <v>43857</v>
      </c>
      <c r="L6" s="39">
        <f t="shared" si="1"/>
        <v>43858</v>
      </c>
      <c r="M6" s="39">
        <f t="shared" si="1"/>
        <v>43859</v>
      </c>
      <c r="N6" s="39">
        <f t="shared" si="1"/>
        <v>43860</v>
      </c>
      <c r="O6" s="39">
        <f t="shared" si="1"/>
        <v>43861</v>
      </c>
      <c r="P6" s="40">
        <f t="shared" si="1"/>
        <v>43862</v>
      </c>
      <c r="Q6" s="50"/>
      <c r="R6" s="38">
        <f t="shared" ref="R6:X11" si="2">年历一显示阳历日三月</f>
        <v>43891</v>
      </c>
      <c r="S6" s="39">
        <f t="shared" si="2"/>
        <v>43892</v>
      </c>
      <c r="T6" s="39">
        <f t="shared" si="2"/>
        <v>43893</v>
      </c>
      <c r="U6" s="39">
        <f t="shared" si="2"/>
        <v>43894</v>
      </c>
      <c r="V6" s="39">
        <f t="shared" si="2"/>
        <v>43895</v>
      </c>
      <c r="W6" s="39">
        <f t="shared" si="2"/>
        <v>43896</v>
      </c>
      <c r="X6" s="40">
        <f t="shared" si="2"/>
        <v>43897</v>
      </c>
    </row>
    <row r="7" ht="20.1" customHeight="1" spans="2:24">
      <c r="B7" s="38">
        <f t="shared" si="0"/>
        <v>43835</v>
      </c>
      <c r="C7" s="39">
        <f t="shared" si="0"/>
        <v>43836</v>
      </c>
      <c r="D7" s="39">
        <f t="shared" si="0"/>
        <v>43837</v>
      </c>
      <c r="E7" s="39">
        <f t="shared" si="0"/>
        <v>43838</v>
      </c>
      <c r="F7" s="39">
        <f t="shared" si="0"/>
        <v>43839</v>
      </c>
      <c r="G7" s="39">
        <f t="shared" si="0"/>
        <v>43840</v>
      </c>
      <c r="H7" s="40">
        <f t="shared" si="0"/>
        <v>43841</v>
      </c>
      <c r="I7" s="50"/>
      <c r="J7" s="38">
        <f t="shared" si="1"/>
        <v>43863</v>
      </c>
      <c r="K7" s="39">
        <f t="shared" si="1"/>
        <v>43864</v>
      </c>
      <c r="L7" s="39">
        <f t="shared" si="1"/>
        <v>43865</v>
      </c>
      <c r="M7" s="39">
        <f t="shared" si="1"/>
        <v>43866</v>
      </c>
      <c r="N7" s="39">
        <f t="shared" si="1"/>
        <v>43867</v>
      </c>
      <c r="O7" s="39">
        <f t="shared" si="1"/>
        <v>43868</v>
      </c>
      <c r="P7" s="40">
        <f t="shared" si="1"/>
        <v>43869</v>
      </c>
      <c r="Q7" s="50"/>
      <c r="R7" s="38">
        <f t="shared" si="2"/>
        <v>43898</v>
      </c>
      <c r="S7" s="39">
        <f t="shared" si="2"/>
        <v>43899</v>
      </c>
      <c r="T7" s="39">
        <f t="shared" si="2"/>
        <v>43900</v>
      </c>
      <c r="U7" s="39">
        <f t="shared" si="2"/>
        <v>43901</v>
      </c>
      <c r="V7" s="39">
        <f t="shared" si="2"/>
        <v>43902</v>
      </c>
      <c r="W7" s="39">
        <f t="shared" si="2"/>
        <v>43903</v>
      </c>
      <c r="X7" s="40">
        <f t="shared" si="2"/>
        <v>43904</v>
      </c>
    </row>
    <row r="8" ht="20.1" customHeight="1" spans="2:24">
      <c r="B8" s="38">
        <f t="shared" si="0"/>
        <v>43842</v>
      </c>
      <c r="C8" s="39">
        <f t="shared" si="0"/>
        <v>43843</v>
      </c>
      <c r="D8" s="39">
        <f t="shared" si="0"/>
        <v>43844</v>
      </c>
      <c r="E8" s="39">
        <f t="shared" si="0"/>
        <v>43845</v>
      </c>
      <c r="F8" s="39">
        <f t="shared" si="0"/>
        <v>43846</v>
      </c>
      <c r="G8" s="39">
        <f t="shared" si="0"/>
        <v>43847</v>
      </c>
      <c r="H8" s="40">
        <f t="shared" si="0"/>
        <v>43848</v>
      </c>
      <c r="I8" s="50"/>
      <c r="J8" s="38">
        <f t="shared" si="1"/>
        <v>43870</v>
      </c>
      <c r="K8" s="39">
        <f t="shared" si="1"/>
        <v>43871</v>
      </c>
      <c r="L8" s="39">
        <f t="shared" si="1"/>
        <v>43872</v>
      </c>
      <c r="M8" s="39">
        <f t="shared" si="1"/>
        <v>43873</v>
      </c>
      <c r="N8" s="39">
        <f t="shared" si="1"/>
        <v>43874</v>
      </c>
      <c r="O8" s="39">
        <f t="shared" si="1"/>
        <v>43875</v>
      </c>
      <c r="P8" s="40">
        <f t="shared" si="1"/>
        <v>43876</v>
      </c>
      <c r="Q8" s="50"/>
      <c r="R8" s="38">
        <f t="shared" si="2"/>
        <v>43905</v>
      </c>
      <c r="S8" s="39">
        <f t="shared" si="2"/>
        <v>43906</v>
      </c>
      <c r="T8" s="39">
        <f t="shared" si="2"/>
        <v>43907</v>
      </c>
      <c r="U8" s="39">
        <f t="shared" si="2"/>
        <v>43908</v>
      </c>
      <c r="V8" s="39">
        <f t="shared" si="2"/>
        <v>43909</v>
      </c>
      <c r="W8" s="39">
        <f t="shared" si="2"/>
        <v>43910</v>
      </c>
      <c r="X8" s="40">
        <f t="shared" si="2"/>
        <v>43911</v>
      </c>
    </row>
    <row r="9" ht="20.1" customHeight="1" spans="2:24">
      <c r="B9" s="38">
        <f t="shared" si="0"/>
        <v>43849</v>
      </c>
      <c r="C9" s="39">
        <f t="shared" si="0"/>
        <v>43850</v>
      </c>
      <c r="D9" s="39">
        <f t="shared" si="0"/>
        <v>43851</v>
      </c>
      <c r="E9" s="39">
        <f t="shared" si="0"/>
        <v>43852</v>
      </c>
      <c r="F9" s="39">
        <f t="shared" si="0"/>
        <v>43853</v>
      </c>
      <c r="G9" s="39">
        <f t="shared" si="0"/>
        <v>43854</v>
      </c>
      <c r="H9" s="40">
        <f t="shared" si="0"/>
        <v>43855</v>
      </c>
      <c r="I9" s="50"/>
      <c r="J9" s="38">
        <f t="shared" si="1"/>
        <v>43877</v>
      </c>
      <c r="K9" s="39">
        <f t="shared" si="1"/>
        <v>43878</v>
      </c>
      <c r="L9" s="39">
        <f t="shared" si="1"/>
        <v>43879</v>
      </c>
      <c r="M9" s="39">
        <f t="shared" si="1"/>
        <v>43880</v>
      </c>
      <c r="N9" s="39">
        <f t="shared" si="1"/>
        <v>43881</v>
      </c>
      <c r="O9" s="39">
        <f t="shared" si="1"/>
        <v>43882</v>
      </c>
      <c r="P9" s="40">
        <f t="shared" si="1"/>
        <v>43883</v>
      </c>
      <c r="Q9" s="50"/>
      <c r="R9" s="38">
        <f t="shared" si="2"/>
        <v>43912</v>
      </c>
      <c r="S9" s="39">
        <f t="shared" si="2"/>
        <v>43913</v>
      </c>
      <c r="T9" s="39">
        <f t="shared" si="2"/>
        <v>43914</v>
      </c>
      <c r="U9" s="39">
        <f t="shared" si="2"/>
        <v>43915</v>
      </c>
      <c r="V9" s="39">
        <f t="shared" si="2"/>
        <v>43916</v>
      </c>
      <c r="W9" s="39">
        <f t="shared" si="2"/>
        <v>43917</v>
      </c>
      <c r="X9" s="40">
        <f t="shared" si="2"/>
        <v>43918</v>
      </c>
    </row>
    <row r="10" ht="20.1" customHeight="1" spans="2:24">
      <c r="B10" s="38">
        <f t="shared" si="0"/>
        <v>43856</v>
      </c>
      <c r="C10" s="39">
        <f t="shared" si="0"/>
        <v>43857</v>
      </c>
      <c r="D10" s="39">
        <f t="shared" si="0"/>
        <v>43858</v>
      </c>
      <c r="E10" s="39">
        <f t="shared" si="0"/>
        <v>43859</v>
      </c>
      <c r="F10" s="39">
        <f t="shared" si="0"/>
        <v>43860</v>
      </c>
      <c r="G10" s="39">
        <f t="shared" si="0"/>
        <v>43861</v>
      </c>
      <c r="H10" s="40">
        <f t="shared" si="0"/>
        <v>43862</v>
      </c>
      <c r="I10" s="50"/>
      <c r="J10" s="38">
        <f t="shared" si="1"/>
        <v>43884</v>
      </c>
      <c r="K10" s="39">
        <f t="shared" si="1"/>
        <v>43885</v>
      </c>
      <c r="L10" s="39">
        <f t="shared" si="1"/>
        <v>43886</v>
      </c>
      <c r="M10" s="39">
        <f t="shared" si="1"/>
        <v>43887</v>
      </c>
      <c r="N10" s="39">
        <f t="shared" si="1"/>
        <v>43888</v>
      </c>
      <c r="O10" s="39">
        <f t="shared" si="1"/>
        <v>43889</v>
      </c>
      <c r="P10" s="40">
        <f t="shared" si="1"/>
        <v>43890</v>
      </c>
      <c r="Q10" s="50"/>
      <c r="R10" s="38">
        <f t="shared" si="2"/>
        <v>43919</v>
      </c>
      <c r="S10" s="39">
        <f t="shared" si="2"/>
        <v>43920</v>
      </c>
      <c r="T10" s="39">
        <f t="shared" si="2"/>
        <v>43921</v>
      </c>
      <c r="U10" s="39">
        <f t="shared" si="2"/>
        <v>43922</v>
      </c>
      <c r="V10" s="39">
        <f t="shared" si="2"/>
        <v>43923</v>
      </c>
      <c r="W10" s="39">
        <f t="shared" si="2"/>
        <v>43924</v>
      </c>
      <c r="X10" s="40">
        <f t="shared" si="2"/>
        <v>43925</v>
      </c>
    </row>
    <row r="11" ht="20.1" customHeight="1" spans="2:24">
      <c r="B11" s="41">
        <f t="shared" si="0"/>
        <v>43863</v>
      </c>
      <c r="C11" s="42">
        <f t="shared" si="0"/>
        <v>43864</v>
      </c>
      <c r="D11" s="42">
        <f t="shared" si="0"/>
        <v>43865</v>
      </c>
      <c r="E11" s="42">
        <f t="shared" si="0"/>
        <v>43866</v>
      </c>
      <c r="F11" s="42">
        <f t="shared" si="0"/>
        <v>43867</v>
      </c>
      <c r="G11" s="42">
        <f t="shared" si="0"/>
        <v>43868</v>
      </c>
      <c r="H11" s="43">
        <f t="shared" si="0"/>
        <v>43869</v>
      </c>
      <c r="I11" s="50"/>
      <c r="J11" s="41">
        <f t="shared" si="1"/>
        <v>43891</v>
      </c>
      <c r="K11" s="42">
        <f t="shared" si="1"/>
        <v>43892</v>
      </c>
      <c r="L11" s="42">
        <f t="shared" si="1"/>
        <v>43893</v>
      </c>
      <c r="M11" s="42">
        <f t="shared" si="1"/>
        <v>43894</v>
      </c>
      <c r="N11" s="42">
        <f t="shared" si="1"/>
        <v>43895</v>
      </c>
      <c r="O11" s="42">
        <f t="shared" si="1"/>
        <v>43896</v>
      </c>
      <c r="P11" s="43">
        <f t="shared" si="1"/>
        <v>43897</v>
      </c>
      <c r="Q11" s="50"/>
      <c r="R11" s="41">
        <f t="shared" si="2"/>
        <v>43926</v>
      </c>
      <c r="S11" s="42">
        <f t="shared" si="2"/>
        <v>43927</v>
      </c>
      <c r="T11" s="42">
        <f t="shared" si="2"/>
        <v>43928</v>
      </c>
      <c r="U11" s="42">
        <f t="shared" si="2"/>
        <v>43929</v>
      </c>
      <c r="V11" s="42">
        <f t="shared" si="2"/>
        <v>43930</v>
      </c>
      <c r="W11" s="42">
        <f t="shared" si="2"/>
        <v>43931</v>
      </c>
      <c r="X11" s="43">
        <f t="shared" si="2"/>
        <v>43932</v>
      </c>
    </row>
    <row r="12" ht="9" customHeight="1" spans="2:24">
      <c r="B12" s="44"/>
      <c r="C12" s="45"/>
      <c r="D12" s="45"/>
      <c r="E12" s="45"/>
      <c r="F12" s="45"/>
      <c r="G12" s="45"/>
      <c r="H12" s="44"/>
      <c r="I12" s="51"/>
      <c r="J12" s="44"/>
      <c r="K12" s="45"/>
      <c r="L12" s="45"/>
      <c r="M12" s="45"/>
      <c r="N12" s="45"/>
      <c r="O12" s="45"/>
      <c r="P12" s="44"/>
      <c r="Q12" s="52"/>
      <c r="R12" s="44"/>
      <c r="S12" s="45"/>
      <c r="T12" s="45"/>
      <c r="U12" s="45"/>
      <c r="V12" s="45"/>
      <c r="W12" s="45"/>
      <c r="X12" s="44"/>
    </row>
    <row r="13" ht="20.1" customHeight="1" spans="2:24">
      <c r="B13" s="33" t="str">
        <f>显示四月</f>
        <v>四月</v>
      </c>
      <c r="C13" s="34"/>
      <c r="D13" s="34"/>
      <c r="E13" s="34"/>
      <c r="F13" s="34"/>
      <c r="G13" s="34"/>
      <c r="H13" s="34"/>
      <c r="I13" s="48"/>
      <c r="J13" s="33" t="str">
        <f>显示五月</f>
        <v>五月</v>
      </c>
      <c r="K13" s="34"/>
      <c r="L13" s="34"/>
      <c r="M13" s="34"/>
      <c r="N13" s="34"/>
      <c r="O13" s="34"/>
      <c r="P13" s="34"/>
      <c r="Q13" s="48"/>
      <c r="R13" s="33" t="str">
        <f>显示六月</f>
        <v>六月</v>
      </c>
      <c r="S13" s="34"/>
      <c r="T13" s="34"/>
      <c r="U13" s="34"/>
      <c r="V13" s="34"/>
      <c r="W13" s="34"/>
      <c r="X13" s="34"/>
    </row>
    <row r="14" ht="20.1" customHeight="1" spans="2:24">
      <c r="B14" s="35" t="s">
        <v>55</v>
      </c>
      <c r="C14" s="36" t="s">
        <v>76</v>
      </c>
      <c r="D14" s="36" t="s">
        <v>96</v>
      </c>
      <c r="E14" s="36" t="s">
        <v>113</v>
      </c>
      <c r="F14" s="36" t="s">
        <v>130</v>
      </c>
      <c r="G14" s="36" t="s">
        <v>149</v>
      </c>
      <c r="H14" s="37" t="s">
        <v>168</v>
      </c>
      <c r="I14" s="49"/>
      <c r="J14" s="35" t="s">
        <v>55</v>
      </c>
      <c r="K14" s="36" t="s">
        <v>76</v>
      </c>
      <c r="L14" s="36" t="s">
        <v>96</v>
      </c>
      <c r="M14" s="36" t="s">
        <v>113</v>
      </c>
      <c r="N14" s="36" t="s">
        <v>130</v>
      </c>
      <c r="O14" s="36" t="s">
        <v>149</v>
      </c>
      <c r="P14" s="37" t="s">
        <v>168</v>
      </c>
      <c r="Q14" s="49"/>
      <c r="R14" s="35" t="s">
        <v>55</v>
      </c>
      <c r="S14" s="36" t="s">
        <v>76</v>
      </c>
      <c r="T14" s="36" t="s">
        <v>96</v>
      </c>
      <c r="U14" s="36" t="s">
        <v>113</v>
      </c>
      <c r="V14" s="36" t="s">
        <v>130</v>
      </c>
      <c r="W14" s="36" t="s">
        <v>149</v>
      </c>
      <c r="X14" s="37" t="s">
        <v>168</v>
      </c>
    </row>
    <row r="15" ht="20.1" customHeight="1" spans="2:24">
      <c r="B15" s="38">
        <f t="shared" ref="B15:H20" si="3">年历一显示阳历日四月</f>
        <v>43919</v>
      </c>
      <c r="C15" s="39">
        <f t="shared" si="3"/>
        <v>43920</v>
      </c>
      <c r="D15" s="39">
        <f t="shared" si="3"/>
        <v>43921</v>
      </c>
      <c r="E15" s="39">
        <f t="shared" si="3"/>
        <v>43922</v>
      </c>
      <c r="F15" s="39">
        <f t="shared" si="3"/>
        <v>43923</v>
      </c>
      <c r="G15" s="39">
        <f t="shared" si="3"/>
        <v>43924</v>
      </c>
      <c r="H15" s="40">
        <f t="shared" si="3"/>
        <v>43925</v>
      </c>
      <c r="I15" s="50"/>
      <c r="J15" s="38">
        <f t="shared" ref="J15:P20" si="4">年历一显示阳历日五月</f>
        <v>43947</v>
      </c>
      <c r="K15" s="39">
        <f t="shared" si="4"/>
        <v>43948</v>
      </c>
      <c r="L15" s="39">
        <f t="shared" si="4"/>
        <v>43949</v>
      </c>
      <c r="M15" s="39">
        <f t="shared" si="4"/>
        <v>43950</v>
      </c>
      <c r="N15" s="39">
        <f t="shared" si="4"/>
        <v>43951</v>
      </c>
      <c r="O15" s="39">
        <f t="shared" si="4"/>
        <v>43952</v>
      </c>
      <c r="P15" s="40">
        <f t="shared" si="4"/>
        <v>43953</v>
      </c>
      <c r="Q15" s="50"/>
      <c r="R15" s="38">
        <f t="shared" ref="R15:X20" si="5">年历一显示阳历日六月</f>
        <v>43982</v>
      </c>
      <c r="S15" s="39">
        <f t="shared" si="5"/>
        <v>43983</v>
      </c>
      <c r="T15" s="39">
        <f t="shared" si="5"/>
        <v>43984</v>
      </c>
      <c r="U15" s="39">
        <f t="shared" si="5"/>
        <v>43985</v>
      </c>
      <c r="V15" s="39">
        <f t="shared" si="5"/>
        <v>43986</v>
      </c>
      <c r="W15" s="39">
        <f t="shared" si="5"/>
        <v>43987</v>
      </c>
      <c r="X15" s="40">
        <f t="shared" si="5"/>
        <v>43988</v>
      </c>
    </row>
    <row r="16" ht="20.1" customHeight="1" spans="2:24">
      <c r="B16" s="38">
        <f t="shared" si="3"/>
        <v>43926</v>
      </c>
      <c r="C16" s="39">
        <f t="shared" si="3"/>
        <v>43927</v>
      </c>
      <c r="D16" s="39">
        <f t="shared" si="3"/>
        <v>43928</v>
      </c>
      <c r="E16" s="39">
        <f t="shared" si="3"/>
        <v>43929</v>
      </c>
      <c r="F16" s="39">
        <f t="shared" si="3"/>
        <v>43930</v>
      </c>
      <c r="G16" s="39">
        <f t="shared" si="3"/>
        <v>43931</v>
      </c>
      <c r="H16" s="40">
        <f t="shared" si="3"/>
        <v>43932</v>
      </c>
      <c r="I16" s="50"/>
      <c r="J16" s="38">
        <f t="shared" si="4"/>
        <v>43954</v>
      </c>
      <c r="K16" s="39">
        <f t="shared" si="4"/>
        <v>43955</v>
      </c>
      <c r="L16" s="39">
        <f t="shared" si="4"/>
        <v>43956</v>
      </c>
      <c r="M16" s="39">
        <f t="shared" si="4"/>
        <v>43957</v>
      </c>
      <c r="N16" s="39">
        <f t="shared" si="4"/>
        <v>43958</v>
      </c>
      <c r="O16" s="39">
        <f t="shared" si="4"/>
        <v>43959</v>
      </c>
      <c r="P16" s="40">
        <f t="shared" si="4"/>
        <v>43960</v>
      </c>
      <c r="Q16" s="50"/>
      <c r="R16" s="38">
        <f t="shared" si="5"/>
        <v>43989</v>
      </c>
      <c r="S16" s="39">
        <f t="shared" si="5"/>
        <v>43990</v>
      </c>
      <c r="T16" s="39">
        <f t="shared" si="5"/>
        <v>43991</v>
      </c>
      <c r="U16" s="39">
        <f t="shared" si="5"/>
        <v>43992</v>
      </c>
      <c r="V16" s="39">
        <f t="shared" si="5"/>
        <v>43993</v>
      </c>
      <c r="W16" s="39">
        <f t="shared" si="5"/>
        <v>43994</v>
      </c>
      <c r="X16" s="40">
        <f t="shared" si="5"/>
        <v>43995</v>
      </c>
    </row>
    <row r="17" ht="20.1" customHeight="1" spans="2:24">
      <c r="B17" s="38">
        <f t="shared" si="3"/>
        <v>43933</v>
      </c>
      <c r="C17" s="39">
        <f t="shared" si="3"/>
        <v>43934</v>
      </c>
      <c r="D17" s="39">
        <f t="shared" si="3"/>
        <v>43935</v>
      </c>
      <c r="E17" s="39">
        <f t="shared" si="3"/>
        <v>43936</v>
      </c>
      <c r="F17" s="39">
        <f t="shared" si="3"/>
        <v>43937</v>
      </c>
      <c r="G17" s="39">
        <f t="shared" si="3"/>
        <v>43938</v>
      </c>
      <c r="H17" s="40">
        <f t="shared" si="3"/>
        <v>43939</v>
      </c>
      <c r="I17" s="50"/>
      <c r="J17" s="38">
        <f t="shared" si="4"/>
        <v>43961</v>
      </c>
      <c r="K17" s="39">
        <f t="shared" si="4"/>
        <v>43962</v>
      </c>
      <c r="L17" s="39">
        <f t="shared" si="4"/>
        <v>43963</v>
      </c>
      <c r="M17" s="39">
        <f t="shared" si="4"/>
        <v>43964</v>
      </c>
      <c r="N17" s="39">
        <f t="shared" si="4"/>
        <v>43965</v>
      </c>
      <c r="O17" s="39">
        <f t="shared" si="4"/>
        <v>43966</v>
      </c>
      <c r="P17" s="40">
        <f t="shared" si="4"/>
        <v>43967</v>
      </c>
      <c r="Q17" s="50"/>
      <c r="R17" s="38">
        <f t="shared" si="5"/>
        <v>43996</v>
      </c>
      <c r="S17" s="39">
        <f t="shared" si="5"/>
        <v>43997</v>
      </c>
      <c r="T17" s="39">
        <f t="shared" si="5"/>
        <v>43998</v>
      </c>
      <c r="U17" s="39">
        <f t="shared" si="5"/>
        <v>43999</v>
      </c>
      <c r="V17" s="39">
        <f t="shared" si="5"/>
        <v>44000</v>
      </c>
      <c r="W17" s="39">
        <f t="shared" si="5"/>
        <v>44001</v>
      </c>
      <c r="X17" s="40">
        <f t="shared" si="5"/>
        <v>44002</v>
      </c>
    </row>
    <row r="18" ht="20.1" customHeight="1" spans="2:24">
      <c r="B18" s="38">
        <f t="shared" si="3"/>
        <v>43940</v>
      </c>
      <c r="C18" s="39">
        <f t="shared" si="3"/>
        <v>43941</v>
      </c>
      <c r="D18" s="39">
        <f t="shared" si="3"/>
        <v>43942</v>
      </c>
      <c r="E18" s="39">
        <f t="shared" si="3"/>
        <v>43943</v>
      </c>
      <c r="F18" s="39">
        <f t="shared" si="3"/>
        <v>43944</v>
      </c>
      <c r="G18" s="39">
        <f t="shared" si="3"/>
        <v>43945</v>
      </c>
      <c r="H18" s="40">
        <f t="shared" si="3"/>
        <v>43946</v>
      </c>
      <c r="I18" s="50"/>
      <c r="J18" s="38">
        <f t="shared" si="4"/>
        <v>43968</v>
      </c>
      <c r="K18" s="39">
        <f t="shared" si="4"/>
        <v>43969</v>
      </c>
      <c r="L18" s="39">
        <f t="shared" si="4"/>
        <v>43970</v>
      </c>
      <c r="M18" s="39">
        <f t="shared" si="4"/>
        <v>43971</v>
      </c>
      <c r="N18" s="39">
        <f t="shared" si="4"/>
        <v>43972</v>
      </c>
      <c r="O18" s="39">
        <f t="shared" si="4"/>
        <v>43973</v>
      </c>
      <c r="P18" s="40">
        <f t="shared" si="4"/>
        <v>43974</v>
      </c>
      <c r="Q18" s="50"/>
      <c r="R18" s="38">
        <f t="shared" si="5"/>
        <v>44003</v>
      </c>
      <c r="S18" s="39">
        <f t="shared" si="5"/>
        <v>44004</v>
      </c>
      <c r="T18" s="39">
        <f t="shared" si="5"/>
        <v>44005</v>
      </c>
      <c r="U18" s="39">
        <f t="shared" si="5"/>
        <v>44006</v>
      </c>
      <c r="V18" s="39">
        <f t="shared" si="5"/>
        <v>44007</v>
      </c>
      <c r="W18" s="39">
        <f t="shared" si="5"/>
        <v>44008</v>
      </c>
      <c r="X18" s="40">
        <f t="shared" si="5"/>
        <v>44009</v>
      </c>
    </row>
    <row r="19" ht="20.1" customHeight="1" spans="2:24">
      <c r="B19" s="38">
        <f t="shared" si="3"/>
        <v>43947</v>
      </c>
      <c r="C19" s="39">
        <f t="shared" si="3"/>
        <v>43948</v>
      </c>
      <c r="D19" s="39">
        <f t="shared" si="3"/>
        <v>43949</v>
      </c>
      <c r="E19" s="39">
        <f t="shared" si="3"/>
        <v>43950</v>
      </c>
      <c r="F19" s="39">
        <f t="shared" si="3"/>
        <v>43951</v>
      </c>
      <c r="G19" s="39">
        <f t="shared" si="3"/>
        <v>43952</v>
      </c>
      <c r="H19" s="40">
        <f t="shared" si="3"/>
        <v>43953</v>
      </c>
      <c r="I19" s="50"/>
      <c r="J19" s="38">
        <f t="shared" si="4"/>
        <v>43975</v>
      </c>
      <c r="K19" s="39">
        <f t="shared" si="4"/>
        <v>43976</v>
      </c>
      <c r="L19" s="39">
        <f t="shared" si="4"/>
        <v>43977</v>
      </c>
      <c r="M19" s="39">
        <f t="shared" si="4"/>
        <v>43978</v>
      </c>
      <c r="N19" s="39">
        <f t="shared" si="4"/>
        <v>43979</v>
      </c>
      <c r="O19" s="39">
        <f t="shared" si="4"/>
        <v>43980</v>
      </c>
      <c r="P19" s="40">
        <f t="shared" si="4"/>
        <v>43981</v>
      </c>
      <c r="Q19" s="50"/>
      <c r="R19" s="38">
        <f t="shared" si="5"/>
        <v>44010</v>
      </c>
      <c r="S19" s="39">
        <f t="shared" si="5"/>
        <v>44011</v>
      </c>
      <c r="T19" s="39">
        <f t="shared" si="5"/>
        <v>44012</v>
      </c>
      <c r="U19" s="39">
        <f t="shared" si="5"/>
        <v>44013</v>
      </c>
      <c r="V19" s="39">
        <f t="shared" si="5"/>
        <v>44014</v>
      </c>
      <c r="W19" s="39">
        <f t="shared" si="5"/>
        <v>44015</v>
      </c>
      <c r="X19" s="40">
        <f t="shared" si="5"/>
        <v>44016</v>
      </c>
    </row>
    <row r="20" ht="20.1" customHeight="1" spans="2:24">
      <c r="B20" s="41">
        <f t="shared" si="3"/>
        <v>43954</v>
      </c>
      <c r="C20" s="42">
        <f t="shared" si="3"/>
        <v>43955</v>
      </c>
      <c r="D20" s="42">
        <f t="shared" si="3"/>
        <v>43956</v>
      </c>
      <c r="E20" s="42">
        <f t="shared" si="3"/>
        <v>43957</v>
      </c>
      <c r="F20" s="42">
        <f t="shared" si="3"/>
        <v>43958</v>
      </c>
      <c r="G20" s="42">
        <f t="shared" si="3"/>
        <v>43959</v>
      </c>
      <c r="H20" s="43">
        <f t="shared" si="3"/>
        <v>43960</v>
      </c>
      <c r="I20" s="50"/>
      <c r="J20" s="41">
        <f t="shared" si="4"/>
        <v>43982</v>
      </c>
      <c r="K20" s="42">
        <f t="shared" si="4"/>
        <v>43983</v>
      </c>
      <c r="L20" s="42">
        <f t="shared" si="4"/>
        <v>43984</v>
      </c>
      <c r="M20" s="42">
        <f t="shared" si="4"/>
        <v>43985</v>
      </c>
      <c r="N20" s="42">
        <f t="shared" si="4"/>
        <v>43986</v>
      </c>
      <c r="O20" s="42">
        <f t="shared" si="4"/>
        <v>43987</v>
      </c>
      <c r="P20" s="43">
        <f t="shared" si="4"/>
        <v>43988</v>
      </c>
      <c r="Q20" s="50"/>
      <c r="R20" s="41">
        <f t="shared" si="5"/>
        <v>44017</v>
      </c>
      <c r="S20" s="42">
        <f t="shared" si="5"/>
        <v>44018</v>
      </c>
      <c r="T20" s="42">
        <f t="shared" si="5"/>
        <v>44019</v>
      </c>
      <c r="U20" s="42">
        <f t="shared" si="5"/>
        <v>44020</v>
      </c>
      <c r="V20" s="42">
        <f t="shared" si="5"/>
        <v>44021</v>
      </c>
      <c r="W20" s="42">
        <f t="shared" si="5"/>
        <v>44022</v>
      </c>
      <c r="X20" s="43">
        <f t="shared" si="5"/>
        <v>44023</v>
      </c>
    </row>
    <row r="21" ht="9" customHeight="1" spans="2:24">
      <c r="B21" s="44"/>
      <c r="C21" s="45"/>
      <c r="D21" s="45"/>
      <c r="E21" s="45"/>
      <c r="F21" s="45"/>
      <c r="G21" s="45"/>
      <c r="H21" s="44"/>
      <c r="I21" s="52"/>
      <c r="J21" s="44"/>
      <c r="K21" s="45"/>
      <c r="L21" s="45"/>
      <c r="M21" s="45"/>
      <c r="N21" s="45"/>
      <c r="O21" s="45"/>
      <c r="P21" s="44"/>
      <c r="Q21" s="52"/>
      <c r="R21" s="44"/>
      <c r="S21" s="45"/>
      <c r="T21" s="45"/>
      <c r="U21" s="45"/>
      <c r="V21" s="45"/>
      <c r="W21" s="45"/>
      <c r="X21" s="44"/>
    </row>
    <row r="22" ht="20.1" customHeight="1" spans="2:24">
      <c r="B22" s="33" t="str">
        <f>显示七月</f>
        <v>七月</v>
      </c>
      <c r="C22" s="34"/>
      <c r="D22" s="34"/>
      <c r="E22" s="34"/>
      <c r="F22" s="34"/>
      <c r="G22" s="34"/>
      <c r="H22" s="34"/>
      <c r="I22" s="48"/>
      <c r="J22" s="33" t="str">
        <f>显示八月</f>
        <v>八月</v>
      </c>
      <c r="K22" s="34"/>
      <c r="L22" s="34"/>
      <c r="M22" s="34"/>
      <c r="N22" s="34"/>
      <c r="O22" s="34"/>
      <c r="P22" s="34"/>
      <c r="Q22" s="48"/>
      <c r="R22" s="33" t="str">
        <f>显示九月</f>
        <v>九月</v>
      </c>
      <c r="S22" s="34"/>
      <c r="T22" s="34"/>
      <c r="U22" s="34"/>
      <c r="V22" s="34"/>
      <c r="W22" s="34"/>
      <c r="X22" s="34"/>
    </row>
    <row r="23" ht="20.1" customHeight="1" spans="2:24">
      <c r="B23" s="35" t="s">
        <v>55</v>
      </c>
      <c r="C23" s="36" t="s">
        <v>76</v>
      </c>
      <c r="D23" s="36" t="s">
        <v>96</v>
      </c>
      <c r="E23" s="36" t="s">
        <v>113</v>
      </c>
      <c r="F23" s="36" t="s">
        <v>130</v>
      </c>
      <c r="G23" s="36" t="s">
        <v>149</v>
      </c>
      <c r="H23" s="37" t="s">
        <v>168</v>
      </c>
      <c r="I23" s="49"/>
      <c r="J23" s="35" t="s">
        <v>55</v>
      </c>
      <c r="K23" s="36" t="s">
        <v>76</v>
      </c>
      <c r="L23" s="36" t="s">
        <v>96</v>
      </c>
      <c r="M23" s="36" t="s">
        <v>113</v>
      </c>
      <c r="N23" s="36" t="s">
        <v>130</v>
      </c>
      <c r="O23" s="36" t="s">
        <v>149</v>
      </c>
      <c r="P23" s="37" t="s">
        <v>168</v>
      </c>
      <c r="Q23" s="49"/>
      <c r="R23" s="35" t="s">
        <v>55</v>
      </c>
      <c r="S23" s="36" t="s">
        <v>76</v>
      </c>
      <c r="T23" s="36" t="s">
        <v>96</v>
      </c>
      <c r="U23" s="36" t="s">
        <v>113</v>
      </c>
      <c r="V23" s="36" t="s">
        <v>130</v>
      </c>
      <c r="W23" s="36" t="s">
        <v>149</v>
      </c>
      <c r="X23" s="37" t="s">
        <v>168</v>
      </c>
    </row>
    <row r="24" ht="20.1" customHeight="1" spans="2:24">
      <c r="B24" s="38">
        <f t="shared" ref="B24:H29" si="6">年历一显示阳历日七月</f>
        <v>44010</v>
      </c>
      <c r="C24" s="39">
        <f t="shared" si="6"/>
        <v>44011</v>
      </c>
      <c r="D24" s="39">
        <f t="shared" si="6"/>
        <v>44012</v>
      </c>
      <c r="E24" s="39">
        <f t="shared" si="6"/>
        <v>44013</v>
      </c>
      <c r="F24" s="39">
        <f t="shared" si="6"/>
        <v>44014</v>
      </c>
      <c r="G24" s="39">
        <f t="shared" si="6"/>
        <v>44015</v>
      </c>
      <c r="H24" s="40">
        <f t="shared" si="6"/>
        <v>44016</v>
      </c>
      <c r="I24" s="50"/>
      <c r="J24" s="38">
        <f t="shared" ref="J24:P29" si="7">年历一显示阳历日八月</f>
        <v>44038</v>
      </c>
      <c r="K24" s="39">
        <f t="shared" si="7"/>
        <v>44039</v>
      </c>
      <c r="L24" s="39">
        <f t="shared" si="7"/>
        <v>44040</v>
      </c>
      <c r="M24" s="39">
        <f t="shared" si="7"/>
        <v>44041</v>
      </c>
      <c r="N24" s="39">
        <f t="shared" si="7"/>
        <v>44042</v>
      </c>
      <c r="O24" s="39">
        <f t="shared" si="7"/>
        <v>44043</v>
      </c>
      <c r="P24" s="40">
        <f t="shared" si="7"/>
        <v>44044</v>
      </c>
      <c r="Q24" s="50"/>
      <c r="R24" s="38">
        <f t="shared" ref="R24:X29" si="8">年历一显示阳历日九月</f>
        <v>44073</v>
      </c>
      <c r="S24" s="39">
        <f t="shared" si="8"/>
        <v>44074</v>
      </c>
      <c r="T24" s="39">
        <f t="shared" si="8"/>
        <v>44075</v>
      </c>
      <c r="U24" s="39">
        <f t="shared" si="8"/>
        <v>44076</v>
      </c>
      <c r="V24" s="39">
        <f t="shared" si="8"/>
        <v>44077</v>
      </c>
      <c r="W24" s="39">
        <f t="shared" si="8"/>
        <v>44078</v>
      </c>
      <c r="X24" s="40">
        <f t="shared" si="8"/>
        <v>44079</v>
      </c>
    </row>
    <row r="25" ht="20.1" customHeight="1" spans="2:24">
      <c r="B25" s="38">
        <f t="shared" si="6"/>
        <v>44017</v>
      </c>
      <c r="C25" s="39">
        <f t="shared" si="6"/>
        <v>44018</v>
      </c>
      <c r="D25" s="39">
        <f t="shared" si="6"/>
        <v>44019</v>
      </c>
      <c r="E25" s="39">
        <f t="shared" si="6"/>
        <v>44020</v>
      </c>
      <c r="F25" s="39">
        <f t="shared" si="6"/>
        <v>44021</v>
      </c>
      <c r="G25" s="39">
        <f t="shared" si="6"/>
        <v>44022</v>
      </c>
      <c r="H25" s="40">
        <f t="shared" si="6"/>
        <v>44023</v>
      </c>
      <c r="I25" s="50"/>
      <c r="J25" s="38">
        <f t="shared" si="7"/>
        <v>44045</v>
      </c>
      <c r="K25" s="39">
        <f t="shared" si="7"/>
        <v>44046</v>
      </c>
      <c r="L25" s="39">
        <f t="shared" si="7"/>
        <v>44047</v>
      </c>
      <c r="M25" s="39">
        <f t="shared" si="7"/>
        <v>44048</v>
      </c>
      <c r="N25" s="39">
        <f t="shared" si="7"/>
        <v>44049</v>
      </c>
      <c r="O25" s="39">
        <f t="shared" si="7"/>
        <v>44050</v>
      </c>
      <c r="P25" s="40">
        <f t="shared" si="7"/>
        <v>44051</v>
      </c>
      <c r="Q25" s="50"/>
      <c r="R25" s="38">
        <f t="shared" si="8"/>
        <v>44080</v>
      </c>
      <c r="S25" s="39">
        <f t="shared" si="8"/>
        <v>44081</v>
      </c>
      <c r="T25" s="39">
        <f t="shared" si="8"/>
        <v>44082</v>
      </c>
      <c r="U25" s="39">
        <f t="shared" si="8"/>
        <v>44083</v>
      </c>
      <c r="V25" s="39">
        <f t="shared" si="8"/>
        <v>44084</v>
      </c>
      <c r="W25" s="39">
        <f t="shared" si="8"/>
        <v>44085</v>
      </c>
      <c r="X25" s="40">
        <f t="shared" si="8"/>
        <v>44086</v>
      </c>
    </row>
    <row r="26" ht="20.1" customHeight="1" spans="2:24">
      <c r="B26" s="38">
        <f t="shared" si="6"/>
        <v>44024</v>
      </c>
      <c r="C26" s="39">
        <f t="shared" si="6"/>
        <v>44025</v>
      </c>
      <c r="D26" s="39">
        <f t="shared" si="6"/>
        <v>44026</v>
      </c>
      <c r="E26" s="39">
        <f t="shared" si="6"/>
        <v>44027</v>
      </c>
      <c r="F26" s="39">
        <f t="shared" si="6"/>
        <v>44028</v>
      </c>
      <c r="G26" s="39">
        <f t="shared" si="6"/>
        <v>44029</v>
      </c>
      <c r="H26" s="40">
        <f t="shared" si="6"/>
        <v>44030</v>
      </c>
      <c r="I26" s="50"/>
      <c r="J26" s="38">
        <f t="shared" si="7"/>
        <v>44052</v>
      </c>
      <c r="K26" s="39">
        <f t="shared" si="7"/>
        <v>44053</v>
      </c>
      <c r="L26" s="39">
        <f t="shared" si="7"/>
        <v>44054</v>
      </c>
      <c r="M26" s="39">
        <f t="shared" si="7"/>
        <v>44055</v>
      </c>
      <c r="N26" s="39">
        <f t="shared" si="7"/>
        <v>44056</v>
      </c>
      <c r="O26" s="39">
        <f t="shared" si="7"/>
        <v>44057</v>
      </c>
      <c r="P26" s="40">
        <f t="shared" si="7"/>
        <v>44058</v>
      </c>
      <c r="Q26" s="50"/>
      <c r="R26" s="38">
        <f t="shared" si="8"/>
        <v>44087</v>
      </c>
      <c r="S26" s="39">
        <f t="shared" si="8"/>
        <v>44088</v>
      </c>
      <c r="T26" s="39">
        <f t="shared" si="8"/>
        <v>44089</v>
      </c>
      <c r="U26" s="39">
        <f t="shared" si="8"/>
        <v>44090</v>
      </c>
      <c r="V26" s="39">
        <f t="shared" si="8"/>
        <v>44091</v>
      </c>
      <c r="W26" s="39">
        <f t="shared" si="8"/>
        <v>44092</v>
      </c>
      <c r="X26" s="40">
        <f t="shared" si="8"/>
        <v>44093</v>
      </c>
    </row>
    <row r="27" ht="20.1" customHeight="1" spans="2:24">
      <c r="B27" s="38">
        <f t="shared" si="6"/>
        <v>44031</v>
      </c>
      <c r="C27" s="39">
        <f t="shared" si="6"/>
        <v>44032</v>
      </c>
      <c r="D27" s="39">
        <f t="shared" si="6"/>
        <v>44033</v>
      </c>
      <c r="E27" s="39">
        <f t="shared" si="6"/>
        <v>44034</v>
      </c>
      <c r="F27" s="39">
        <f t="shared" si="6"/>
        <v>44035</v>
      </c>
      <c r="G27" s="39">
        <f t="shared" si="6"/>
        <v>44036</v>
      </c>
      <c r="H27" s="40">
        <f t="shared" si="6"/>
        <v>44037</v>
      </c>
      <c r="I27" s="50"/>
      <c r="J27" s="38">
        <f t="shared" si="7"/>
        <v>44059</v>
      </c>
      <c r="K27" s="39">
        <f t="shared" si="7"/>
        <v>44060</v>
      </c>
      <c r="L27" s="39">
        <f t="shared" si="7"/>
        <v>44061</v>
      </c>
      <c r="M27" s="39">
        <f t="shared" si="7"/>
        <v>44062</v>
      </c>
      <c r="N27" s="39">
        <f t="shared" si="7"/>
        <v>44063</v>
      </c>
      <c r="O27" s="39">
        <f t="shared" si="7"/>
        <v>44064</v>
      </c>
      <c r="P27" s="40">
        <f t="shared" si="7"/>
        <v>44065</v>
      </c>
      <c r="Q27" s="50"/>
      <c r="R27" s="38">
        <f t="shared" si="8"/>
        <v>44094</v>
      </c>
      <c r="S27" s="39">
        <f t="shared" si="8"/>
        <v>44095</v>
      </c>
      <c r="T27" s="39">
        <f t="shared" si="8"/>
        <v>44096</v>
      </c>
      <c r="U27" s="39">
        <f t="shared" si="8"/>
        <v>44097</v>
      </c>
      <c r="V27" s="39">
        <f t="shared" si="8"/>
        <v>44098</v>
      </c>
      <c r="W27" s="39">
        <f t="shared" si="8"/>
        <v>44099</v>
      </c>
      <c r="X27" s="40">
        <f t="shared" si="8"/>
        <v>44100</v>
      </c>
    </row>
    <row r="28" ht="20.1" customHeight="1" spans="2:24">
      <c r="B28" s="38">
        <f t="shared" si="6"/>
        <v>44038</v>
      </c>
      <c r="C28" s="39">
        <f t="shared" si="6"/>
        <v>44039</v>
      </c>
      <c r="D28" s="39">
        <f t="shared" si="6"/>
        <v>44040</v>
      </c>
      <c r="E28" s="39">
        <f t="shared" si="6"/>
        <v>44041</v>
      </c>
      <c r="F28" s="39">
        <f t="shared" si="6"/>
        <v>44042</v>
      </c>
      <c r="G28" s="39">
        <f t="shared" si="6"/>
        <v>44043</v>
      </c>
      <c r="H28" s="40">
        <f t="shared" si="6"/>
        <v>44044</v>
      </c>
      <c r="I28" s="50"/>
      <c r="J28" s="38">
        <f t="shared" si="7"/>
        <v>44066</v>
      </c>
      <c r="K28" s="39">
        <f t="shared" si="7"/>
        <v>44067</v>
      </c>
      <c r="L28" s="39">
        <f t="shared" si="7"/>
        <v>44068</v>
      </c>
      <c r="M28" s="39">
        <f t="shared" si="7"/>
        <v>44069</v>
      </c>
      <c r="N28" s="39">
        <f t="shared" si="7"/>
        <v>44070</v>
      </c>
      <c r="O28" s="39">
        <f t="shared" si="7"/>
        <v>44071</v>
      </c>
      <c r="P28" s="40">
        <f t="shared" si="7"/>
        <v>44072</v>
      </c>
      <c r="Q28" s="50"/>
      <c r="R28" s="38">
        <f t="shared" si="8"/>
        <v>44101</v>
      </c>
      <c r="S28" s="39">
        <f t="shared" si="8"/>
        <v>44102</v>
      </c>
      <c r="T28" s="39">
        <f t="shared" si="8"/>
        <v>44103</v>
      </c>
      <c r="U28" s="39">
        <f t="shared" si="8"/>
        <v>44104</v>
      </c>
      <c r="V28" s="39">
        <f t="shared" si="8"/>
        <v>44105</v>
      </c>
      <c r="W28" s="39">
        <f t="shared" si="8"/>
        <v>44106</v>
      </c>
      <c r="X28" s="40">
        <f t="shared" si="8"/>
        <v>44107</v>
      </c>
    </row>
    <row r="29" ht="20.1" customHeight="1" spans="2:24">
      <c r="B29" s="41">
        <f t="shared" si="6"/>
        <v>44045</v>
      </c>
      <c r="C29" s="42">
        <f t="shared" si="6"/>
        <v>44046</v>
      </c>
      <c r="D29" s="42">
        <f t="shared" si="6"/>
        <v>44047</v>
      </c>
      <c r="E29" s="42">
        <f t="shared" si="6"/>
        <v>44048</v>
      </c>
      <c r="F29" s="42">
        <f t="shared" si="6"/>
        <v>44049</v>
      </c>
      <c r="G29" s="42">
        <f t="shared" si="6"/>
        <v>44050</v>
      </c>
      <c r="H29" s="43">
        <f t="shared" si="6"/>
        <v>44051</v>
      </c>
      <c r="I29" s="50"/>
      <c r="J29" s="41">
        <f t="shared" si="7"/>
        <v>44073</v>
      </c>
      <c r="K29" s="42">
        <f t="shared" si="7"/>
        <v>44074</v>
      </c>
      <c r="L29" s="42">
        <f t="shared" si="7"/>
        <v>44075</v>
      </c>
      <c r="M29" s="42">
        <f t="shared" si="7"/>
        <v>44076</v>
      </c>
      <c r="N29" s="42">
        <f t="shared" si="7"/>
        <v>44077</v>
      </c>
      <c r="O29" s="42">
        <f t="shared" si="7"/>
        <v>44078</v>
      </c>
      <c r="P29" s="43">
        <f t="shared" si="7"/>
        <v>44079</v>
      </c>
      <c r="Q29" s="50"/>
      <c r="R29" s="41">
        <f t="shared" si="8"/>
        <v>44108</v>
      </c>
      <c r="S29" s="42">
        <f t="shared" si="8"/>
        <v>44109</v>
      </c>
      <c r="T29" s="42">
        <f t="shared" si="8"/>
        <v>44110</v>
      </c>
      <c r="U29" s="42">
        <f t="shared" si="8"/>
        <v>44111</v>
      </c>
      <c r="V29" s="42">
        <f t="shared" si="8"/>
        <v>44112</v>
      </c>
      <c r="W29" s="42">
        <f t="shared" si="8"/>
        <v>44113</v>
      </c>
      <c r="X29" s="43">
        <f t="shared" si="8"/>
        <v>44114</v>
      </c>
    </row>
    <row r="30" ht="9" customHeight="1" spans="2:24">
      <c r="B30" s="44"/>
      <c r="C30" s="45"/>
      <c r="D30" s="45"/>
      <c r="E30" s="45"/>
      <c r="F30" s="45"/>
      <c r="G30" s="45"/>
      <c r="H30" s="44"/>
      <c r="I30" s="52"/>
      <c r="J30" s="44"/>
      <c r="K30" s="45"/>
      <c r="L30" s="45"/>
      <c r="M30" s="45"/>
      <c r="N30" s="45"/>
      <c r="O30" s="45"/>
      <c r="P30" s="44"/>
      <c r="Q30" s="54"/>
      <c r="R30" s="44"/>
      <c r="S30" s="45"/>
      <c r="T30" s="45"/>
      <c r="U30" s="45"/>
      <c r="V30" s="45"/>
      <c r="W30" s="45"/>
      <c r="X30" s="44"/>
    </row>
    <row r="31" ht="20.1" customHeight="1" spans="2:24">
      <c r="B31" s="33" t="str">
        <f>显示十月</f>
        <v>十月</v>
      </c>
      <c r="C31" s="34"/>
      <c r="D31" s="34"/>
      <c r="E31" s="34"/>
      <c r="F31" s="34"/>
      <c r="G31" s="34"/>
      <c r="H31" s="34"/>
      <c r="I31" s="48"/>
      <c r="J31" s="33" t="str">
        <f>显示十一月</f>
        <v>十一月</v>
      </c>
      <c r="K31" s="34"/>
      <c r="L31" s="34"/>
      <c r="M31" s="34"/>
      <c r="N31" s="34"/>
      <c r="O31" s="34"/>
      <c r="P31" s="34"/>
      <c r="Q31" s="48"/>
      <c r="R31" s="33" t="str">
        <f>显示十二月</f>
        <v>十二月</v>
      </c>
      <c r="S31" s="34"/>
      <c r="T31" s="34"/>
      <c r="U31" s="34"/>
      <c r="V31" s="34"/>
      <c r="W31" s="34"/>
      <c r="X31" s="34"/>
    </row>
    <row r="32" ht="20.1" customHeight="1" spans="2:24">
      <c r="B32" s="35" t="s">
        <v>55</v>
      </c>
      <c r="C32" s="36" t="s">
        <v>76</v>
      </c>
      <c r="D32" s="36" t="s">
        <v>96</v>
      </c>
      <c r="E32" s="36" t="s">
        <v>113</v>
      </c>
      <c r="F32" s="36" t="s">
        <v>130</v>
      </c>
      <c r="G32" s="36" t="s">
        <v>149</v>
      </c>
      <c r="H32" s="37" t="s">
        <v>168</v>
      </c>
      <c r="I32" s="49"/>
      <c r="J32" s="35" t="s">
        <v>55</v>
      </c>
      <c r="K32" s="36" t="s">
        <v>76</v>
      </c>
      <c r="L32" s="36" t="s">
        <v>96</v>
      </c>
      <c r="M32" s="36" t="s">
        <v>113</v>
      </c>
      <c r="N32" s="36" t="s">
        <v>130</v>
      </c>
      <c r="O32" s="36" t="s">
        <v>149</v>
      </c>
      <c r="P32" s="37" t="s">
        <v>168</v>
      </c>
      <c r="Q32" s="49"/>
      <c r="R32" s="35" t="s">
        <v>55</v>
      </c>
      <c r="S32" s="36" t="s">
        <v>76</v>
      </c>
      <c r="T32" s="36" t="s">
        <v>96</v>
      </c>
      <c r="U32" s="36" t="s">
        <v>113</v>
      </c>
      <c r="V32" s="36" t="s">
        <v>130</v>
      </c>
      <c r="W32" s="36" t="s">
        <v>149</v>
      </c>
      <c r="X32" s="37" t="s">
        <v>168</v>
      </c>
    </row>
    <row r="33" ht="20.1" customHeight="1" spans="2:24">
      <c r="B33" s="38">
        <f t="shared" ref="B33:H38" si="9">年历一显示阳历日十月</f>
        <v>44101</v>
      </c>
      <c r="C33" s="39">
        <f t="shared" si="9"/>
        <v>44102</v>
      </c>
      <c r="D33" s="39">
        <f t="shared" si="9"/>
        <v>44103</v>
      </c>
      <c r="E33" s="39">
        <f t="shared" si="9"/>
        <v>44104</v>
      </c>
      <c r="F33" s="39">
        <f t="shared" si="9"/>
        <v>44105</v>
      </c>
      <c r="G33" s="39">
        <f t="shared" si="9"/>
        <v>44106</v>
      </c>
      <c r="H33" s="40">
        <f t="shared" si="9"/>
        <v>44107</v>
      </c>
      <c r="I33" s="50"/>
      <c r="J33" s="38">
        <f t="shared" ref="J33:P38" si="10">年历一显示阳历日十一月</f>
        <v>44136</v>
      </c>
      <c r="K33" s="39">
        <f t="shared" si="10"/>
        <v>44137</v>
      </c>
      <c r="L33" s="39">
        <f t="shared" si="10"/>
        <v>44138</v>
      </c>
      <c r="M33" s="39">
        <f t="shared" si="10"/>
        <v>44139</v>
      </c>
      <c r="N33" s="39">
        <f t="shared" si="10"/>
        <v>44140</v>
      </c>
      <c r="O33" s="39">
        <f t="shared" si="10"/>
        <v>44141</v>
      </c>
      <c r="P33" s="40">
        <f t="shared" si="10"/>
        <v>44142</v>
      </c>
      <c r="Q33" s="50"/>
      <c r="R33" s="38">
        <f t="shared" ref="R33:X38" si="11">年历一显示阳历日十二月</f>
        <v>44164</v>
      </c>
      <c r="S33" s="39">
        <f t="shared" si="11"/>
        <v>44165</v>
      </c>
      <c r="T33" s="39">
        <f t="shared" si="11"/>
        <v>44166</v>
      </c>
      <c r="U33" s="39">
        <f t="shared" si="11"/>
        <v>44167</v>
      </c>
      <c r="V33" s="39">
        <f t="shared" si="11"/>
        <v>44168</v>
      </c>
      <c r="W33" s="39">
        <f t="shared" si="11"/>
        <v>44169</v>
      </c>
      <c r="X33" s="40">
        <f t="shared" si="11"/>
        <v>44170</v>
      </c>
    </row>
    <row r="34" ht="20.1" customHeight="1" spans="2:24">
      <c r="B34" s="38">
        <f t="shared" si="9"/>
        <v>44108</v>
      </c>
      <c r="C34" s="39">
        <f t="shared" si="9"/>
        <v>44109</v>
      </c>
      <c r="D34" s="39">
        <f t="shared" si="9"/>
        <v>44110</v>
      </c>
      <c r="E34" s="39">
        <f t="shared" si="9"/>
        <v>44111</v>
      </c>
      <c r="F34" s="39">
        <f t="shared" si="9"/>
        <v>44112</v>
      </c>
      <c r="G34" s="39">
        <f t="shared" si="9"/>
        <v>44113</v>
      </c>
      <c r="H34" s="40">
        <f t="shared" si="9"/>
        <v>44114</v>
      </c>
      <c r="I34" s="50"/>
      <c r="J34" s="38">
        <f t="shared" si="10"/>
        <v>44143</v>
      </c>
      <c r="K34" s="39">
        <f t="shared" si="10"/>
        <v>44144</v>
      </c>
      <c r="L34" s="39">
        <f t="shared" si="10"/>
        <v>44145</v>
      </c>
      <c r="M34" s="39">
        <f t="shared" si="10"/>
        <v>44146</v>
      </c>
      <c r="N34" s="39">
        <f t="shared" si="10"/>
        <v>44147</v>
      </c>
      <c r="O34" s="39">
        <f t="shared" si="10"/>
        <v>44148</v>
      </c>
      <c r="P34" s="40">
        <f t="shared" si="10"/>
        <v>44149</v>
      </c>
      <c r="Q34" s="50"/>
      <c r="R34" s="38">
        <f t="shared" si="11"/>
        <v>44171</v>
      </c>
      <c r="S34" s="39">
        <f t="shared" si="11"/>
        <v>44172</v>
      </c>
      <c r="T34" s="39">
        <f t="shared" si="11"/>
        <v>44173</v>
      </c>
      <c r="U34" s="39">
        <f t="shared" si="11"/>
        <v>44174</v>
      </c>
      <c r="V34" s="39">
        <f t="shared" si="11"/>
        <v>44175</v>
      </c>
      <c r="W34" s="39">
        <f t="shared" si="11"/>
        <v>44176</v>
      </c>
      <c r="X34" s="40">
        <f t="shared" si="11"/>
        <v>44177</v>
      </c>
    </row>
    <row r="35" ht="20.1" customHeight="1" spans="2:24">
      <c r="B35" s="38">
        <f t="shared" si="9"/>
        <v>44115</v>
      </c>
      <c r="C35" s="39">
        <f t="shared" si="9"/>
        <v>44116</v>
      </c>
      <c r="D35" s="39">
        <f t="shared" si="9"/>
        <v>44117</v>
      </c>
      <c r="E35" s="39">
        <f t="shared" si="9"/>
        <v>44118</v>
      </c>
      <c r="F35" s="39">
        <f t="shared" si="9"/>
        <v>44119</v>
      </c>
      <c r="G35" s="39">
        <f t="shared" si="9"/>
        <v>44120</v>
      </c>
      <c r="H35" s="40">
        <f t="shared" si="9"/>
        <v>44121</v>
      </c>
      <c r="I35" s="50"/>
      <c r="J35" s="38">
        <f t="shared" si="10"/>
        <v>44150</v>
      </c>
      <c r="K35" s="39">
        <f t="shared" si="10"/>
        <v>44151</v>
      </c>
      <c r="L35" s="39">
        <f t="shared" si="10"/>
        <v>44152</v>
      </c>
      <c r="M35" s="39">
        <f t="shared" si="10"/>
        <v>44153</v>
      </c>
      <c r="N35" s="39">
        <f t="shared" si="10"/>
        <v>44154</v>
      </c>
      <c r="O35" s="39">
        <f t="shared" si="10"/>
        <v>44155</v>
      </c>
      <c r="P35" s="40">
        <f t="shared" si="10"/>
        <v>44156</v>
      </c>
      <c r="Q35" s="50"/>
      <c r="R35" s="38">
        <f t="shared" si="11"/>
        <v>44178</v>
      </c>
      <c r="S35" s="39">
        <f t="shared" si="11"/>
        <v>44179</v>
      </c>
      <c r="T35" s="39">
        <f t="shared" si="11"/>
        <v>44180</v>
      </c>
      <c r="U35" s="39">
        <f t="shared" si="11"/>
        <v>44181</v>
      </c>
      <c r="V35" s="39">
        <f t="shared" si="11"/>
        <v>44182</v>
      </c>
      <c r="W35" s="39">
        <f t="shared" si="11"/>
        <v>44183</v>
      </c>
      <c r="X35" s="40">
        <f t="shared" si="11"/>
        <v>44184</v>
      </c>
    </row>
    <row r="36" ht="20.1" customHeight="1" spans="2:24">
      <c r="B36" s="38">
        <f t="shared" si="9"/>
        <v>44122</v>
      </c>
      <c r="C36" s="39">
        <f t="shared" si="9"/>
        <v>44123</v>
      </c>
      <c r="D36" s="39">
        <f t="shared" si="9"/>
        <v>44124</v>
      </c>
      <c r="E36" s="39">
        <f t="shared" si="9"/>
        <v>44125</v>
      </c>
      <c r="F36" s="39">
        <f t="shared" si="9"/>
        <v>44126</v>
      </c>
      <c r="G36" s="39">
        <f t="shared" si="9"/>
        <v>44127</v>
      </c>
      <c r="H36" s="40">
        <f t="shared" si="9"/>
        <v>44128</v>
      </c>
      <c r="I36" s="50"/>
      <c r="J36" s="38">
        <f t="shared" si="10"/>
        <v>44157</v>
      </c>
      <c r="K36" s="39">
        <f t="shared" si="10"/>
        <v>44158</v>
      </c>
      <c r="L36" s="39">
        <f t="shared" si="10"/>
        <v>44159</v>
      </c>
      <c r="M36" s="39">
        <f t="shared" si="10"/>
        <v>44160</v>
      </c>
      <c r="N36" s="39">
        <f t="shared" si="10"/>
        <v>44161</v>
      </c>
      <c r="O36" s="39">
        <f t="shared" si="10"/>
        <v>44162</v>
      </c>
      <c r="P36" s="40">
        <f t="shared" si="10"/>
        <v>44163</v>
      </c>
      <c r="Q36" s="50"/>
      <c r="R36" s="38">
        <f t="shared" si="11"/>
        <v>44185</v>
      </c>
      <c r="S36" s="39">
        <f t="shared" si="11"/>
        <v>44186</v>
      </c>
      <c r="T36" s="39">
        <f t="shared" si="11"/>
        <v>44187</v>
      </c>
      <c r="U36" s="39">
        <f t="shared" si="11"/>
        <v>44188</v>
      </c>
      <c r="V36" s="39">
        <f t="shared" si="11"/>
        <v>44189</v>
      </c>
      <c r="W36" s="39">
        <f t="shared" si="11"/>
        <v>44190</v>
      </c>
      <c r="X36" s="40">
        <f t="shared" si="11"/>
        <v>44191</v>
      </c>
    </row>
    <row r="37" ht="20.1" customHeight="1" spans="2:24">
      <c r="B37" s="38">
        <f t="shared" si="9"/>
        <v>44129</v>
      </c>
      <c r="C37" s="39">
        <f t="shared" si="9"/>
        <v>44130</v>
      </c>
      <c r="D37" s="39">
        <f t="shared" si="9"/>
        <v>44131</v>
      </c>
      <c r="E37" s="39">
        <f t="shared" si="9"/>
        <v>44132</v>
      </c>
      <c r="F37" s="39">
        <f t="shared" si="9"/>
        <v>44133</v>
      </c>
      <c r="G37" s="39">
        <f t="shared" si="9"/>
        <v>44134</v>
      </c>
      <c r="H37" s="40">
        <f t="shared" si="9"/>
        <v>44135</v>
      </c>
      <c r="I37" s="50"/>
      <c r="J37" s="38">
        <f t="shared" si="10"/>
        <v>44164</v>
      </c>
      <c r="K37" s="39">
        <f t="shared" si="10"/>
        <v>44165</v>
      </c>
      <c r="L37" s="39">
        <f t="shared" si="10"/>
        <v>44166</v>
      </c>
      <c r="M37" s="39">
        <f t="shared" si="10"/>
        <v>44167</v>
      </c>
      <c r="N37" s="39">
        <f t="shared" si="10"/>
        <v>44168</v>
      </c>
      <c r="O37" s="39">
        <f t="shared" si="10"/>
        <v>44169</v>
      </c>
      <c r="P37" s="40">
        <f t="shared" si="10"/>
        <v>44170</v>
      </c>
      <c r="Q37" s="50"/>
      <c r="R37" s="38">
        <f t="shared" si="11"/>
        <v>44192</v>
      </c>
      <c r="S37" s="39">
        <f t="shared" si="11"/>
        <v>44193</v>
      </c>
      <c r="T37" s="39">
        <f t="shared" si="11"/>
        <v>44194</v>
      </c>
      <c r="U37" s="39">
        <f t="shared" si="11"/>
        <v>44195</v>
      </c>
      <c r="V37" s="39">
        <f t="shared" si="11"/>
        <v>44196</v>
      </c>
      <c r="W37" s="39">
        <f t="shared" si="11"/>
        <v>44197</v>
      </c>
      <c r="X37" s="40">
        <f t="shared" si="11"/>
        <v>44198</v>
      </c>
    </row>
    <row r="38" ht="20.1" customHeight="1" spans="2:24">
      <c r="B38" s="41">
        <f t="shared" si="9"/>
        <v>44136</v>
      </c>
      <c r="C38" s="42">
        <f t="shared" si="9"/>
        <v>44137</v>
      </c>
      <c r="D38" s="42">
        <f t="shared" si="9"/>
        <v>44138</v>
      </c>
      <c r="E38" s="42">
        <f t="shared" si="9"/>
        <v>44139</v>
      </c>
      <c r="F38" s="42">
        <f t="shared" si="9"/>
        <v>44140</v>
      </c>
      <c r="G38" s="42">
        <f t="shared" si="9"/>
        <v>44141</v>
      </c>
      <c r="H38" s="43">
        <f t="shared" si="9"/>
        <v>44142</v>
      </c>
      <c r="I38" s="50"/>
      <c r="J38" s="41">
        <f t="shared" si="10"/>
        <v>44171</v>
      </c>
      <c r="K38" s="42">
        <f t="shared" si="10"/>
        <v>44172</v>
      </c>
      <c r="L38" s="42">
        <f t="shared" si="10"/>
        <v>44173</v>
      </c>
      <c r="M38" s="42">
        <f t="shared" si="10"/>
        <v>44174</v>
      </c>
      <c r="N38" s="42">
        <f t="shared" si="10"/>
        <v>44175</v>
      </c>
      <c r="O38" s="42">
        <f t="shared" si="10"/>
        <v>44176</v>
      </c>
      <c r="P38" s="43">
        <f t="shared" si="10"/>
        <v>44177</v>
      </c>
      <c r="Q38" s="50"/>
      <c r="R38" s="41">
        <f t="shared" si="11"/>
        <v>44199</v>
      </c>
      <c r="S38" s="42">
        <f t="shared" si="11"/>
        <v>44200</v>
      </c>
      <c r="T38" s="42">
        <f t="shared" si="11"/>
        <v>44201</v>
      </c>
      <c r="U38" s="42">
        <f t="shared" si="11"/>
        <v>44202</v>
      </c>
      <c r="V38" s="42">
        <f t="shared" si="11"/>
        <v>44203</v>
      </c>
      <c r="W38" s="42">
        <f t="shared" si="11"/>
        <v>44204</v>
      </c>
      <c r="X38" s="43">
        <f t="shared" si="11"/>
        <v>44205</v>
      </c>
    </row>
    <row r="39" ht="8.25" customHeight="1"/>
  </sheetData>
  <mergeCells count="15">
    <mergeCell ref="B1:X1"/>
    <mergeCell ref="C2:D2"/>
    <mergeCell ref="T2:X2"/>
    <mergeCell ref="B4:H4"/>
    <mergeCell ref="J4:P4"/>
    <mergeCell ref="R4:X4"/>
    <mergeCell ref="B13:H13"/>
    <mergeCell ref="J13:P13"/>
    <mergeCell ref="R13:X13"/>
    <mergeCell ref="B22:H22"/>
    <mergeCell ref="J22:P22"/>
    <mergeCell ref="R22:X22"/>
    <mergeCell ref="B31:H31"/>
    <mergeCell ref="J31:P31"/>
    <mergeCell ref="R31:X31"/>
  </mergeCells>
  <conditionalFormatting sqref="B6:X6 B15:X15 B24:X24 B33:X33">
    <cfRule type="expression" dxfId="0" priority="3">
      <formula>DAY(B6)&gt;7</formula>
    </cfRule>
  </conditionalFormatting>
  <conditionalFormatting sqref="B6:X38">
    <cfRule type="expression" dxfId="1" priority="1">
      <formula>AND(YEAR(NOW())=YEAR(B6),DAY(B6)=DAY(NOW()),MONTH(B6)=MONTH(NOW()))</formula>
    </cfRule>
  </conditionalFormatting>
  <conditionalFormatting sqref="B10:X11 B19:X20 B28:X29 B37:X38">
    <cfRule type="expression" dxfId="0" priority="2">
      <formula>DAY(B10)&lt;20</formula>
    </cfRule>
  </conditionalFormatting>
  <pageMargins left="0.699305555555556" right="0.699305555555556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2051" r:id="rId3" name="lbLeftYear">
          <controlPr defaultSize="0" r:id="rId4">
            <anchor moveWithCells="1">
              <from>
                <xdr:col>1</xdr:col>
                <xdr:colOff>95250</xdr:colOff>
                <xdr:row>1</xdr:row>
                <xdr:rowOff>66675</xdr:rowOff>
              </from>
              <to>
                <xdr:col>2</xdr:col>
                <xdr:colOff>47625</xdr:colOff>
                <xdr:row>1</xdr:row>
                <xdr:rowOff>342900</xdr:rowOff>
              </to>
            </anchor>
          </controlPr>
        </control>
      </mc:Choice>
      <mc:Fallback>
        <control shapeId="2051" r:id="rId3" name="lbLeftYear"/>
      </mc:Fallback>
    </mc:AlternateContent>
    <mc:AlternateContent xmlns:mc="http://schemas.openxmlformats.org/markup-compatibility/2006">
      <mc:Choice Requires="x14">
        <control shapeId="2052" r:id="rId5" name="lbRightYear">
          <controlPr defaultSize="0" r:id="rId6">
            <anchor moveWithCells="1">
              <from>
                <xdr:col>4</xdr:col>
                <xdr:colOff>228600</xdr:colOff>
                <xdr:row>1</xdr:row>
                <xdr:rowOff>57150</xdr:rowOff>
              </from>
              <to>
                <xdr:col>5</xdr:col>
                <xdr:colOff>209550</xdr:colOff>
                <xdr:row>1</xdr:row>
                <xdr:rowOff>333375</xdr:rowOff>
              </to>
            </anchor>
          </controlPr>
        </control>
      </mc:Choice>
      <mc:Fallback>
        <control shapeId="2052" r:id="rId5" name="lbRightYear"/>
      </mc:Fallback>
    </mc:AlternateContent>
    <mc:AlternateContent xmlns:mc="http://schemas.openxmlformats.org/markup-compatibility/2006">
      <mc:Choice Requires="x14">
        <control shapeId="2053" r:id="rId7" name="lbToday">
          <controlPr defaultSize="0" r:id="rId8">
            <anchor moveWithCells="1">
              <from>
                <xdr:col>22</xdr:col>
                <xdr:colOff>180975</xdr:colOff>
                <xdr:row>0</xdr:row>
                <xdr:rowOff>19050</xdr:rowOff>
              </from>
              <to>
                <xdr:col>23</xdr:col>
                <xdr:colOff>209550</xdr:colOff>
                <xdr:row>1</xdr:row>
                <xdr:rowOff>95250</xdr:rowOff>
              </to>
            </anchor>
          </controlPr>
        </control>
      </mc:Choice>
      <mc:Fallback>
        <control shapeId="2053" r:id="rId7" name="lbToda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16"/>
  <sheetViews>
    <sheetView tabSelected="1" zoomScale="115" zoomScaleNormal="115" workbookViewId="0">
      <selection activeCell="F4" sqref="F4"/>
    </sheetView>
  </sheetViews>
  <sheetFormatPr defaultColWidth="9" defaultRowHeight="30.95" customHeight="1"/>
  <cols>
    <col min="1" max="1" width="2.625" style="1" customWidth="1"/>
    <col min="2" max="8" width="14.375" style="2" customWidth="1"/>
    <col min="9" max="9" width="2.5" style="1" customWidth="1"/>
    <col min="10" max="10" width="18" style="1" customWidth="1"/>
    <col min="11" max="11" width="3.375" style="1" customWidth="1"/>
    <col min="12" max="12" width="3.625" style="1" customWidth="1"/>
    <col min="13" max="16384" width="9" style="1"/>
  </cols>
  <sheetData>
    <row r="1" ht="25.5" customHeight="1" spans="2:8">
      <c r="B1" s="3" t="s">
        <v>443</v>
      </c>
      <c r="C1" s="3"/>
      <c r="D1" s="3"/>
      <c r="E1" s="3"/>
      <c r="F1" s="3"/>
      <c r="G1" s="3"/>
      <c r="H1" s="3"/>
    </row>
    <row r="2" ht="27.75" customHeight="1" spans="1:8">
      <c r="A2" s="4"/>
      <c r="B2" s="5">
        <f>选择的年</f>
        <v>2020</v>
      </c>
      <c r="C2" s="6" t="s">
        <v>442</v>
      </c>
      <c r="D2" s="5">
        <f>选择的月</f>
        <v>4</v>
      </c>
      <c r="E2" s="6" t="s">
        <v>444</v>
      </c>
      <c r="F2" s="5"/>
      <c r="G2" s="7"/>
      <c r="H2" s="7" t="str">
        <f ca="1">天干年&amp;地支年&amp;"·"&amp;生肖&amp;"年"</f>
        <v>庚子·鼠年</v>
      </c>
    </row>
    <row r="3" customHeight="1" spans="1:8">
      <c r="A3" s="8"/>
      <c r="B3" s="9" t="str">
        <f>显示星期头</f>
        <v>日</v>
      </c>
      <c r="C3" s="10" t="str">
        <f>显示星期头</f>
        <v>一</v>
      </c>
      <c r="D3" s="10" t="str">
        <f>显示星期头</f>
        <v>二</v>
      </c>
      <c r="E3" s="10" t="str">
        <f>显示星期头</f>
        <v>三</v>
      </c>
      <c r="F3" s="10" t="str">
        <f>显示星期头</f>
        <v>四</v>
      </c>
      <c r="G3" s="10" t="str">
        <f>显示星期头</f>
        <v>五</v>
      </c>
      <c r="H3" s="11" t="str">
        <f>显示星期头</f>
        <v>六</v>
      </c>
    </row>
    <row r="4" customHeight="1" spans="1:11">
      <c r="A4" s="8"/>
      <c r="B4" s="12">
        <f>显示阳历日</f>
        <v>43919</v>
      </c>
      <c r="C4" s="13">
        <f>显示阳历日</f>
        <v>43920</v>
      </c>
      <c r="D4" s="13">
        <f>显示阳历日</f>
        <v>43921</v>
      </c>
      <c r="E4" s="13">
        <f>显示阳历日</f>
        <v>43922</v>
      </c>
      <c r="F4" s="13">
        <f>显示阳历日</f>
        <v>43923</v>
      </c>
      <c r="G4" s="13">
        <f>显示阳历日</f>
        <v>43924</v>
      </c>
      <c r="H4" s="14">
        <f>显示阳历日</f>
        <v>43925</v>
      </c>
      <c r="J4" s="23"/>
      <c r="K4" s="23"/>
    </row>
    <row r="5" ht="27" customHeight="1" spans="1:11">
      <c r="A5" s="8"/>
      <c r="B5" s="15"/>
      <c r="C5" s="16"/>
      <c r="D5" s="16"/>
      <c r="E5" s="16"/>
      <c r="F5" s="16"/>
      <c r="G5" s="16"/>
      <c r="H5" s="17"/>
      <c r="J5" s="23"/>
      <c r="K5" s="24"/>
    </row>
    <row r="6" customHeight="1" spans="1:11">
      <c r="A6" s="8"/>
      <c r="B6" s="12">
        <f>显示阳历日</f>
        <v>43926</v>
      </c>
      <c r="C6" s="13">
        <f>显示阳历日</f>
        <v>43927</v>
      </c>
      <c r="D6" s="13">
        <f>显示阳历日</f>
        <v>43928</v>
      </c>
      <c r="E6" s="13">
        <f>显示阳历日</f>
        <v>43929</v>
      </c>
      <c r="F6" s="13">
        <f>显示阳历日</f>
        <v>43930</v>
      </c>
      <c r="G6" s="13">
        <f>显示阳历日</f>
        <v>43931</v>
      </c>
      <c r="H6" s="14">
        <f>显示阳历日</f>
        <v>43932</v>
      </c>
      <c r="J6" s="23"/>
      <c r="K6" s="25"/>
    </row>
    <row r="7" ht="27" customHeight="1" spans="1:11">
      <c r="A7" s="8"/>
      <c r="B7" s="15"/>
      <c r="C7" s="16"/>
      <c r="D7" s="16"/>
      <c r="E7" s="16"/>
      <c r="F7" s="16"/>
      <c r="G7" s="16"/>
      <c r="H7" s="17"/>
      <c r="J7" s="23"/>
      <c r="K7" s="23"/>
    </row>
    <row r="8" customHeight="1" spans="1:8">
      <c r="A8" s="8"/>
      <c r="B8" s="12">
        <f>显示阳历日</f>
        <v>43933</v>
      </c>
      <c r="C8" s="13">
        <f>显示阳历日</f>
        <v>43934</v>
      </c>
      <c r="D8" s="13">
        <f>显示阳历日</f>
        <v>43935</v>
      </c>
      <c r="E8" s="13">
        <f>显示阳历日</f>
        <v>43936</v>
      </c>
      <c r="F8" s="13">
        <f>显示阳历日</f>
        <v>43937</v>
      </c>
      <c r="G8" s="13">
        <f>显示阳历日</f>
        <v>43938</v>
      </c>
      <c r="H8" s="14">
        <f>显示阳历日</f>
        <v>43939</v>
      </c>
    </row>
    <row r="9" ht="27" customHeight="1" spans="1:8">
      <c r="A9" s="8"/>
      <c r="B9" s="15"/>
      <c r="C9" s="16"/>
      <c r="D9" s="16"/>
      <c r="E9" s="16"/>
      <c r="F9" s="16"/>
      <c r="G9" s="16"/>
      <c r="H9" s="17"/>
    </row>
    <row r="10" customHeight="1" spans="1:8">
      <c r="A10" s="8"/>
      <c r="B10" s="12">
        <f>显示阳历日</f>
        <v>43940</v>
      </c>
      <c r="C10" s="13">
        <f>显示阳历日</f>
        <v>43941</v>
      </c>
      <c r="D10" s="13">
        <f>显示阳历日</f>
        <v>43942</v>
      </c>
      <c r="E10" s="13">
        <f>显示阳历日</f>
        <v>43943</v>
      </c>
      <c r="F10" s="13">
        <f>显示阳历日</f>
        <v>43944</v>
      </c>
      <c r="G10" s="13">
        <f>显示阳历日</f>
        <v>43945</v>
      </c>
      <c r="H10" s="18">
        <f>显示阳历日</f>
        <v>43946</v>
      </c>
    </row>
    <row r="11" ht="27" customHeight="1" spans="1:8">
      <c r="A11" s="8"/>
      <c r="B11" s="15"/>
      <c r="C11" s="16"/>
      <c r="D11" s="16"/>
      <c r="E11" s="16"/>
      <c r="F11" s="16"/>
      <c r="G11" s="16"/>
      <c r="H11" s="17"/>
    </row>
    <row r="12" customHeight="1" spans="1:8">
      <c r="A12" s="8"/>
      <c r="B12" s="12">
        <f>显示阳历日</f>
        <v>43947</v>
      </c>
      <c r="C12" s="13">
        <f>显示阳历日</f>
        <v>43948</v>
      </c>
      <c r="D12" s="13">
        <f>显示阳历日</f>
        <v>43949</v>
      </c>
      <c r="E12" s="13">
        <f>显示阳历日</f>
        <v>43950</v>
      </c>
      <c r="F12" s="13">
        <f>显示阳历日</f>
        <v>43951</v>
      </c>
      <c r="G12" s="13">
        <f>显示阳历日</f>
        <v>43952</v>
      </c>
      <c r="H12" s="14">
        <f>显示阳历日</f>
        <v>43953</v>
      </c>
    </row>
    <row r="13" ht="27" customHeight="1" spans="1:8">
      <c r="A13" s="8"/>
      <c r="B13" s="15"/>
      <c r="C13" s="16"/>
      <c r="D13" s="16"/>
      <c r="E13" s="16"/>
      <c r="F13" s="16"/>
      <c r="G13" s="16"/>
      <c r="H13" s="17"/>
    </row>
    <row r="14" customHeight="1" spans="1:9">
      <c r="A14" s="19"/>
      <c r="B14" s="12">
        <f>显示阳历日</f>
        <v>43954</v>
      </c>
      <c r="C14" s="13">
        <f>显示阳历日</f>
        <v>43955</v>
      </c>
      <c r="D14" s="13">
        <f>显示阳历日</f>
        <v>43956</v>
      </c>
      <c r="E14" s="13">
        <f>显示阳历日</f>
        <v>43957</v>
      </c>
      <c r="F14" s="13">
        <f>显示阳历日</f>
        <v>43958</v>
      </c>
      <c r="G14" s="13">
        <f>显示阳历日</f>
        <v>43959</v>
      </c>
      <c r="H14" s="14">
        <f>显示阳历日</f>
        <v>43960</v>
      </c>
      <c r="I14" s="26"/>
    </row>
    <row r="15" ht="27" customHeight="1" spans="1:8">
      <c r="A15" s="8"/>
      <c r="B15" s="20"/>
      <c r="C15" s="21"/>
      <c r="D15" s="21"/>
      <c r="E15" s="21"/>
      <c r="F15" s="21"/>
      <c r="G15" s="21"/>
      <c r="H15" s="22"/>
    </row>
    <row r="16" ht="22.5" customHeight="1"/>
  </sheetData>
  <mergeCells count="1">
    <mergeCell ref="B1:H1"/>
  </mergeCells>
  <conditionalFormatting sqref="B5:H5">
    <cfRule type="expression" dxfId="0" priority="4">
      <formula>DAY(B4)&gt;7</formula>
    </cfRule>
  </conditionalFormatting>
  <conditionalFormatting sqref="B4:H15">
    <cfRule type="expression" dxfId="1" priority="5">
      <formula>AND(DAY(B4)=DAY(NOW()),MONTH(B4)=MONTH(NOW()))</formula>
    </cfRule>
    <cfRule type="expression" dxfId="2" priority="34">
      <formula>MONTH(B4)&lt;&gt;$D$2</formula>
    </cfRule>
  </conditionalFormatting>
  <conditionalFormatting sqref="B13:H15">
    <cfRule type="expression" dxfId="0" priority="3">
      <formula>DAY(B12)&lt;15</formula>
    </cfRule>
  </conditionalFormatting>
  <pageMargins left="0.699305555555556" right="0.699305555555556" top="0.75" bottom="0.75" header="0.3" footer="0.3"/>
  <pageSetup paperSize="9" orientation="landscape"/>
  <headerFooter/>
  <ignoredErrors>
    <ignoredError sqref="B14:H14 B6:H6 B8:H8 B10:H10 B12:H12" formula="1"/>
  </ignoredErrors>
  <drawing r:id="rId1"/>
  <legacyDrawing r:id="rId2"/>
  <controls>
    <mc:AlternateContent xmlns:mc="http://schemas.openxmlformats.org/markup-compatibility/2006">
      <mc:Choice Requires="x14">
        <control shapeId="1028" r:id="rId3" name="lbLeftMonth">
          <controlPr defaultSize="0" r:id="rId4">
            <anchor moveWithCells="1">
              <from>
                <xdr:col>3</xdr:col>
                <xdr:colOff>495300</xdr:colOff>
                <xdr:row>1</xdr:row>
                <xdr:rowOff>66675</xdr:rowOff>
              </from>
              <to>
                <xdr:col>3</xdr:col>
                <xdr:colOff>866775</xdr:colOff>
                <xdr:row>1</xdr:row>
                <xdr:rowOff>342900</xdr:rowOff>
              </to>
            </anchor>
          </controlPr>
        </control>
      </mc:Choice>
      <mc:Fallback>
        <control shapeId="1028" r:id="rId3" name="lbLeftMonth"/>
      </mc:Fallback>
    </mc:AlternateContent>
    <mc:AlternateContent xmlns:mc="http://schemas.openxmlformats.org/markup-compatibility/2006">
      <mc:Choice Requires="x14">
        <control shapeId="1029" r:id="rId5" name="lbRightMonth">
          <controlPr defaultSize="0" r:id="rId6">
            <anchor moveWithCells="1">
              <from>
                <xdr:col>4</xdr:col>
                <xdr:colOff>200025</xdr:colOff>
                <xdr:row>1</xdr:row>
                <xdr:rowOff>66675</xdr:rowOff>
              </from>
              <to>
                <xdr:col>4</xdr:col>
                <xdr:colOff>609600</xdr:colOff>
                <xdr:row>1</xdr:row>
                <xdr:rowOff>342900</xdr:rowOff>
              </to>
            </anchor>
          </controlPr>
        </control>
      </mc:Choice>
      <mc:Fallback>
        <control shapeId="1029" r:id="rId5" name="lbRightMonth"/>
      </mc:Fallback>
    </mc:AlternateContent>
    <mc:AlternateContent xmlns:mc="http://schemas.openxmlformats.org/markup-compatibility/2006">
      <mc:Choice Requires="x14">
        <control shapeId="1030" r:id="rId7" name="lbLeftYear">
          <controlPr defaultSize="0" r:id="rId4">
            <anchor moveWithCells="1">
              <from>
                <xdr:col>1</xdr:col>
                <xdr:colOff>285750</xdr:colOff>
                <xdr:row>1</xdr:row>
                <xdr:rowOff>57150</xdr:rowOff>
              </from>
              <to>
                <xdr:col>1</xdr:col>
                <xdr:colOff>657225</xdr:colOff>
                <xdr:row>1</xdr:row>
                <xdr:rowOff>333375</xdr:rowOff>
              </to>
            </anchor>
          </controlPr>
        </control>
      </mc:Choice>
      <mc:Fallback>
        <control shapeId="1030" r:id="rId7" name="lbLeftYear"/>
      </mc:Fallback>
    </mc:AlternateContent>
    <mc:AlternateContent xmlns:mc="http://schemas.openxmlformats.org/markup-compatibility/2006">
      <mc:Choice Requires="x14">
        <control shapeId="1031" r:id="rId8" name="lbRightYear">
          <controlPr defaultSize="0" r:id="rId9">
            <anchor moveWithCells="1">
              <from>
                <xdr:col>2</xdr:col>
                <xdr:colOff>219075</xdr:colOff>
                <xdr:row>1</xdr:row>
                <xdr:rowOff>57150</xdr:rowOff>
              </from>
              <to>
                <xdr:col>2</xdr:col>
                <xdr:colOff>561975</xdr:colOff>
                <xdr:row>1</xdr:row>
                <xdr:rowOff>333375</xdr:rowOff>
              </to>
            </anchor>
          </controlPr>
        </control>
      </mc:Choice>
      <mc:Fallback>
        <control shapeId="1031" r:id="rId8" name="lbRightYear"/>
      </mc:Fallback>
    </mc:AlternateContent>
    <mc:AlternateContent xmlns:mc="http://schemas.openxmlformats.org/markup-compatibility/2006">
      <mc:Choice Requires="x14">
        <control shapeId="1032" r:id="rId10" name="lbToday">
          <controlPr defaultSize="0" r:id="rId11">
            <anchor moveWithCells="1">
              <from>
                <xdr:col>3</xdr:col>
                <xdr:colOff>0</xdr:colOff>
                <xdr:row>1</xdr:row>
                <xdr:rowOff>47625</xdr:rowOff>
              </from>
              <to>
                <xdr:col>3</xdr:col>
                <xdr:colOff>314325</xdr:colOff>
                <xdr:row>2</xdr:row>
                <xdr:rowOff>0</xdr:rowOff>
              </to>
            </anchor>
          </controlPr>
        </control>
      </mc:Choice>
      <mc:Fallback>
        <control shapeId="1032" r:id="rId10" name="lbToda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配置</vt:lpstr>
      <vt:lpstr>个人配置</vt:lpstr>
      <vt:lpstr>年历</vt:lpstr>
      <vt:lpstr>月历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Administrator</cp:lastModifiedBy>
  <dcterms:created xsi:type="dcterms:W3CDTF">2018-11-16T05:03:00Z</dcterms:created>
  <dcterms:modified xsi:type="dcterms:W3CDTF">2021-02-27T08:22:50Z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2052-10.1.0.7698</vt:lpwstr>
  </property>
</Properties>
</file>