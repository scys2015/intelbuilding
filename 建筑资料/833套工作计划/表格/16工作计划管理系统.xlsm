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5885" windowWidth="9210" windowHeight="6555"/>
  </bookViews>
  <sheets>
    <sheet name="目录" sheetId="9" r:id="rId1"/>
    <sheet name="月度工作计划" sheetId="10" r:id="rId2"/>
    <sheet name="每日工作计划" sheetId="8" r:id="rId3"/>
    <sheet name="账号管理" sheetId="4" r:id="rId4"/>
  </sheets>
  <calcPr calcId="144525"/>
</workbook>
</file>

<file path=xl/sharedStrings.xml><?xml version="1.0" encoding="utf-8"?>
<sst xmlns="http://schemas.openxmlformats.org/spreadsheetml/2006/main" count="48">
  <si>
    <t>本文档由稻壳儿奋斗的小青年设计制作，盗版必究。</t>
  </si>
  <si>
    <r>
      <rPr>
        <sz val="22"/>
        <color rgb="FF00B0F0"/>
        <rFont val="微软雅黑"/>
        <charset val="134"/>
      </rPr>
      <t xml:space="preserve"> 月度工作计划</t>
    </r>
    <r>
      <rPr>
        <sz val="18"/>
        <color rgb="FF00B0F0"/>
        <rFont val="微软雅黑"/>
        <charset val="134"/>
      </rPr>
      <t xml:space="preserve">
</t>
    </r>
    <r>
      <rPr>
        <sz val="11"/>
        <color theme="1" tint="0.0499893185216834"/>
        <rFont val="微软雅黑"/>
        <charset val="134"/>
      </rPr>
      <t xml:space="preserve">Monthly work plan </t>
    </r>
  </si>
  <si>
    <t>编号</t>
  </si>
  <si>
    <t>工作内容</t>
  </si>
  <si>
    <t>开始时间</t>
  </si>
  <si>
    <t>结束时间</t>
  </si>
  <si>
    <t>重要紧急情况</t>
  </si>
  <si>
    <t>完成情况</t>
  </si>
  <si>
    <t>未完成原因</t>
  </si>
  <si>
    <t>责任人</t>
  </si>
  <si>
    <t>协助人</t>
  </si>
  <si>
    <t>备注</t>
  </si>
  <si>
    <t>星期日</t>
  </si>
  <si>
    <t>星期一</t>
  </si>
  <si>
    <t>星期二</t>
  </si>
  <si>
    <t>星期三</t>
  </si>
  <si>
    <t>星期四</t>
  </si>
  <si>
    <t>星期五</t>
  </si>
  <si>
    <t>星期六</t>
  </si>
  <si>
    <t>召开工作例会</t>
  </si>
  <si>
    <t>重要紧急</t>
  </si>
  <si>
    <t>未完成</t>
  </si>
  <si>
    <t>筹备年中会议</t>
  </si>
  <si>
    <t>重要不紧急</t>
  </si>
  <si>
    <t>已经完成</t>
  </si>
  <si>
    <t>新员工培训</t>
  </si>
  <si>
    <t>紧急不重要</t>
  </si>
  <si>
    <t>进行中</t>
  </si>
  <si>
    <t>汇报上周工作总结</t>
  </si>
  <si>
    <t>不重要不紧急</t>
  </si>
  <si>
    <t>滞后</t>
  </si>
  <si>
    <t>拟定下个月工作计划</t>
  </si>
  <si>
    <t>考核指标数据收集</t>
  </si>
  <si>
    <t>组织部门考核</t>
  </si>
  <si>
    <t>月度工作总结：</t>
  </si>
  <si>
    <t>统计计算考核结果</t>
  </si>
  <si>
    <t>制定绩效改进计划</t>
  </si>
  <si>
    <r>
      <rPr>
        <b/>
        <sz val="18"/>
        <color theme="1"/>
        <rFont val="微软雅黑"/>
        <charset val="134"/>
      </rPr>
      <t>今日工作计划</t>
    </r>
    <r>
      <rPr>
        <sz val="10"/>
        <color theme="1"/>
        <rFont val="微软雅黑"/>
        <charset val="134"/>
      </rPr>
      <t xml:space="preserve">
Today's work plan </t>
    </r>
  </si>
  <si>
    <t>时间</t>
  </si>
  <si>
    <t>每日工作总结</t>
  </si>
  <si>
    <t>今日感悟</t>
  </si>
  <si>
    <t>完成</t>
  </si>
  <si>
    <t>1-召开工作例会
2-筹备年中会议
3-新员工培训
4-汇报上周工作总结
5-拟定下个月工作计划
6-考核指标数据收集
7-组织部门考核
8-统计计算考核结果
9-制定绩效改进计划</t>
  </si>
  <si>
    <t>处理邮件</t>
  </si>
  <si>
    <t>处理流程</t>
  </si>
  <si>
    <r>
      <rPr>
        <b/>
        <sz val="12"/>
        <rFont val="微软雅黑"/>
        <charset val="134"/>
      </rPr>
      <t xml:space="preserve">用户名
</t>
    </r>
    <r>
      <rPr>
        <sz val="10"/>
        <rFont val="微软雅黑"/>
        <charset val="134"/>
      </rPr>
      <t>username</t>
    </r>
  </si>
  <si>
    <r>
      <rPr>
        <b/>
        <sz val="12"/>
        <rFont val="微软雅黑"/>
        <charset val="134"/>
      </rPr>
      <t xml:space="preserve">登录密码
</t>
    </r>
    <r>
      <rPr>
        <sz val="10"/>
        <rFont val="微软雅黑"/>
        <charset val="134"/>
      </rPr>
      <t>password</t>
    </r>
  </si>
  <si>
    <t>admin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</si>
</sst>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176" formatCode="General\ &quot;月&quot;"/>
    <numFmt numFmtId="44" formatCode="_ &quot;￥&quot;* #,##0.00_ ;_ &quot;￥&quot;* \-#,##0.00_ ;_ &quot;￥&quot;* &quot;-&quot;??_ ;_ @_ "/>
    <numFmt numFmtId="177" formatCode="General\ &quot;年&quot;"/>
    <numFmt numFmtId="43" formatCode="_ * #,##0.00_ ;_ * \-#,##0.00_ ;_ * &quot;-&quot;??_ ;_ @_ "/>
    <numFmt numFmtId="41" formatCode="_ * #,##0_ ;_ * \-#,##0_ ;_ * &quot;-&quot;_ ;_ @_ "/>
    <numFmt numFmtId="178" formatCode="[$-804]aaaa;@"/>
    <numFmt numFmtId="179" formatCode="0_);[Red]\(0\)"/>
  </numFmts>
  <fonts count="39">
    <font>
      <sz val="11"/>
      <color theme="1"/>
      <name val="宋体"/>
      <charset val="134"/>
      <scheme val="minor"/>
    </font>
    <font>
      <b/>
      <sz val="12"/>
      <name val="微软雅黑"/>
      <charset val="134"/>
    </font>
    <font>
      <sz val="12"/>
      <name val="微软雅黑"/>
      <charset val="134"/>
    </font>
    <font>
      <sz val="11"/>
      <color theme="0"/>
      <name val="宋体"/>
      <charset val="134"/>
      <scheme val="minor"/>
    </font>
    <font>
      <sz val="11"/>
      <color theme="1"/>
      <name val="微软雅黑"/>
      <charset val="134"/>
    </font>
    <font>
      <sz val="10"/>
      <color theme="1"/>
      <name val="微软雅黑"/>
      <charset val="134"/>
    </font>
    <font>
      <sz val="11"/>
      <color theme="0"/>
      <name val="微软雅黑"/>
      <charset val="134"/>
    </font>
    <font>
      <sz val="18"/>
      <color rgb="FF00B0F0"/>
      <name val="微软雅黑"/>
      <charset val="134"/>
    </font>
    <font>
      <sz val="11"/>
      <color theme="1" tint="0.0499893185216834"/>
      <name val="微软雅黑"/>
      <charset val="134"/>
    </font>
    <font>
      <sz val="11"/>
      <color rgb="FF00B0F0"/>
      <name val="微软雅黑"/>
      <charset val="134"/>
    </font>
    <font>
      <sz val="10"/>
      <color theme="0"/>
      <name val="微软雅黑"/>
      <charset val="134"/>
    </font>
    <font>
      <sz val="10"/>
      <color rgb="FFFF0000"/>
      <name val="微软雅黑"/>
      <charset val="134"/>
    </font>
    <font>
      <sz val="10"/>
      <color theme="1" tint="0.0499893185216834"/>
      <name val="微软雅黑"/>
      <charset val="134"/>
    </font>
    <font>
      <sz val="10"/>
      <color theme="1" tint="0.249977111117893"/>
      <name val="微软雅黑"/>
      <charset val="134"/>
    </font>
    <font>
      <sz val="10"/>
      <color theme="3" tint="-0.499984740745262"/>
      <name val="微软雅黑"/>
      <charset val="134"/>
    </font>
    <font>
      <sz val="28"/>
      <color theme="0"/>
      <name val="微软雅黑"/>
      <charset val="134"/>
    </font>
    <font>
      <sz val="11"/>
      <color theme="0" tint="-0.349986266670736"/>
      <name val="微软雅黑"/>
      <charset val="134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0"/>
      <name val="微软雅黑"/>
      <charset val="134"/>
    </font>
    <font>
      <b/>
      <sz val="18"/>
      <color theme="1"/>
      <name val="微软雅黑"/>
      <charset val="134"/>
    </font>
    <font>
      <sz val="22"/>
      <color rgb="FF00B0F0"/>
      <name val="微软雅黑"/>
      <charset val="134"/>
    </font>
  </fonts>
  <fills count="38">
    <fill>
      <patternFill patternType="none"/>
    </fill>
    <fill>
      <patternFill patternType="gray125"/>
    </fill>
    <fill>
      <patternFill patternType="solid">
        <fgColor theme="9" tint="0.399975585192419"/>
        <bgColor indexed="64"/>
      </patternFill>
    </fill>
    <fill>
      <patternFill patternType="solid">
        <fgColor rgb="FF719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FCDC3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</fills>
  <borders count="6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theme="0"/>
      </right>
      <top style="medium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1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 style="medium">
        <color theme="1"/>
      </top>
      <bottom style="thin">
        <color theme="0"/>
      </bottom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medium">
        <color theme="1"/>
      </right>
      <top/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/>
      <right/>
      <top/>
      <bottom style="medium">
        <color rgb="FF00B0F0"/>
      </bottom>
      <diagonal/>
    </border>
    <border>
      <left style="medium">
        <color rgb="FF00B0F0"/>
      </left>
      <right/>
      <top/>
      <bottom/>
      <diagonal/>
    </border>
    <border>
      <left/>
      <right style="thin">
        <color theme="1" tint="0.149998474074526"/>
      </right>
      <top/>
      <bottom/>
      <diagonal/>
    </border>
    <border>
      <left style="thin">
        <color theme="1" tint="0.149998474074526"/>
      </left>
      <right/>
      <top/>
      <bottom/>
      <diagonal/>
    </border>
    <border>
      <left style="medium">
        <color theme="1"/>
      </left>
      <right style="thin">
        <color auto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rgb="FF00B0F0"/>
      </left>
      <right/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/>
      <diagonal/>
    </border>
    <border>
      <left/>
      <right style="thin">
        <color rgb="FF00B0F0"/>
      </right>
      <top/>
      <bottom/>
      <diagonal/>
    </border>
    <border>
      <left style="medium">
        <color rgb="FF00B0F0"/>
      </left>
      <right/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 style="medium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/>
      <top/>
      <bottom style="thin">
        <color theme="1" tint="0.149998474074526"/>
      </bottom>
      <diagonal/>
    </border>
    <border>
      <left style="medium">
        <color theme="1" tint="0.149998474074526"/>
      </left>
      <right style="thin">
        <color theme="1" tint="0.149998474074526"/>
      </right>
      <top style="thin">
        <color theme="1" tint="0.149998474074526"/>
      </top>
      <bottom/>
      <diagonal/>
    </border>
    <border>
      <left style="thin">
        <color auto="1"/>
      </left>
      <right style="thin">
        <color auto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31" fillId="22" borderId="5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1" borderId="60" applyNumberFormat="0" applyFont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7" fillId="0" borderId="58" applyNumberFormat="0" applyFill="0" applyAlignment="0" applyProtection="0">
      <alignment vertical="center"/>
    </xf>
    <xf numFmtId="0" fontId="33" fillId="0" borderId="58" applyNumberFormat="0" applyFill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21" fillId="0" borderId="62" applyNumberFormat="0" applyFill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8" fillId="10" borderId="55" applyNumberFormat="0" applyAlignment="0" applyProtection="0">
      <alignment vertical="center"/>
    </xf>
    <xf numFmtId="0" fontId="28" fillId="10" borderId="59" applyNumberFormat="0" applyAlignment="0" applyProtection="0">
      <alignment vertical="center"/>
    </xf>
    <xf numFmtId="0" fontId="24" fillId="14" borderId="56" applyNumberFormat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26" fillId="0" borderId="57" applyNumberFormat="0" applyFill="0" applyAlignment="0" applyProtection="0">
      <alignment vertical="center"/>
    </xf>
    <xf numFmtId="0" fontId="32" fillId="0" borderId="61" applyNumberFormat="0" applyFill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</cellStyleXfs>
  <cellXfs count="91">
    <xf numFmtId="0" fontId="0" fillId="0" borderId="0" xfId="0"/>
    <xf numFmtId="0" fontId="1" fillId="2" borderId="1" xfId="0" applyFont="1" applyFill="1" applyBorder="1" applyAlignment="1" applyProtection="1">
      <alignment horizontal="center" vertical="center" wrapText="1"/>
      <protection hidden="1"/>
    </xf>
    <xf numFmtId="0" fontId="1" fillId="2" borderId="2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4" xfId="0" applyFont="1" applyBorder="1" applyAlignment="1" applyProtection="1">
      <alignment horizontal="center" vertical="center"/>
      <protection hidden="1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0" fontId="5" fillId="0" borderId="9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top" wrapText="1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20" fontId="5" fillId="0" borderId="13" xfId="0" applyNumberFormat="1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0" fontId="5" fillId="0" borderId="17" xfId="0" applyNumberFormat="1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left" vertical="top"/>
    </xf>
    <xf numFmtId="0" fontId="4" fillId="0" borderId="19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4" fillId="0" borderId="0" xfId="0" applyFont="1"/>
    <xf numFmtId="0" fontId="7" fillId="0" borderId="2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177" fontId="8" fillId="4" borderId="21" xfId="0" applyNumberFormat="1" applyFont="1" applyFill="1" applyBorder="1" applyAlignment="1">
      <alignment horizontal="center" vertical="center"/>
    </xf>
    <xf numFmtId="177" fontId="8" fillId="4" borderId="22" xfId="0" applyNumberFormat="1" applyFont="1" applyFill="1" applyBorder="1" applyAlignment="1">
      <alignment horizontal="center" vertical="center"/>
    </xf>
    <xf numFmtId="176" fontId="8" fillId="4" borderId="23" xfId="0" applyNumberFormat="1" applyFont="1" applyFill="1" applyBorder="1" applyAlignment="1">
      <alignment horizontal="center" vertical="center"/>
    </xf>
    <xf numFmtId="176" fontId="8" fillId="4" borderId="22" xfId="0" applyNumberFormat="1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0" fillId="3" borderId="24" xfId="0" applyFont="1" applyFill="1" applyBorder="1" applyAlignment="1">
      <alignment horizontal="center" vertical="center"/>
    </xf>
    <xf numFmtId="178" fontId="11" fillId="4" borderId="13" xfId="0" applyNumberFormat="1" applyFont="1" applyFill="1" applyBorder="1" applyAlignment="1">
      <alignment horizontal="center" vertical="center"/>
    </xf>
    <xf numFmtId="178" fontId="12" fillId="4" borderId="13" xfId="0" applyNumberFormat="1" applyFont="1" applyFill="1" applyBorder="1" applyAlignment="1">
      <alignment horizontal="center" vertical="center"/>
    </xf>
    <xf numFmtId="178" fontId="11" fillId="4" borderId="25" xfId="0" applyNumberFormat="1" applyFont="1" applyFill="1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13" fillId="4" borderId="13" xfId="0" applyFont="1" applyFill="1" applyBorder="1" applyAlignment="1">
      <alignment horizontal="center" vertical="center"/>
    </xf>
    <xf numFmtId="0" fontId="11" fillId="4" borderId="25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  <xf numFmtId="0" fontId="11" fillId="4" borderId="27" xfId="0" applyFont="1" applyFill="1" applyBorder="1" applyAlignment="1">
      <alignment horizontal="center" vertical="center"/>
    </xf>
    <xf numFmtId="0" fontId="14" fillId="5" borderId="28" xfId="0" applyFont="1" applyFill="1" applyBorder="1" applyAlignment="1">
      <alignment horizontal="left" vertical="top"/>
    </xf>
    <xf numFmtId="0" fontId="14" fillId="5" borderId="29" xfId="0" applyFont="1" applyFill="1" applyBorder="1" applyAlignment="1">
      <alignment horizontal="left" vertical="top"/>
    </xf>
    <xf numFmtId="0" fontId="14" fillId="5" borderId="30" xfId="0" applyFont="1" applyFill="1" applyBorder="1" applyAlignment="1">
      <alignment horizontal="left" vertical="top"/>
    </xf>
    <xf numFmtId="0" fontId="14" fillId="5" borderId="21" xfId="0" applyFont="1" applyFill="1" applyBorder="1" applyAlignment="1">
      <alignment horizontal="left" vertical="top"/>
    </xf>
    <xf numFmtId="0" fontId="14" fillId="5" borderId="0" xfId="0" applyFont="1" applyFill="1" applyBorder="1" applyAlignment="1">
      <alignment horizontal="left" vertical="top"/>
    </xf>
    <xf numFmtId="0" fontId="14" fillId="5" borderId="31" xfId="0" applyFont="1" applyFill="1" applyBorder="1" applyAlignment="1">
      <alignment horizontal="left" vertical="top"/>
    </xf>
    <xf numFmtId="0" fontId="14" fillId="5" borderId="32" xfId="0" applyFont="1" applyFill="1" applyBorder="1" applyAlignment="1">
      <alignment horizontal="left" vertical="top"/>
    </xf>
    <xf numFmtId="0" fontId="14" fillId="5" borderId="33" xfId="0" applyFont="1" applyFill="1" applyBorder="1" applyAlignment="1">
      <alignment horizontal="left" vertical="top"/>
    </xf>
    <xf numFmtId="0" fontId="11" fillId="4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10" fillId="3" borderId="38" xfId="0" applyFont="1" applyFill="1" applyBorder="1" applyAlignment="1">
      <alignment horizontal="center" vertical="center"/>
    </xf>
    <xf numFmtId="14" fontId="5" fillId="0" borderId="9" xfId="0" applyNumberFormat="1" applyFont="1" applyBorder="1" applyAlignment="1">
      <alignment horizontal="center" vertical="center"/>
    </xf>
    <xf numFmtId="14" fontId="5" fillId="0" borderId="13" xfId="0" applyNumberFormat="1" applyFont="1" applyBorder="1" applyAlignment="1">
      <alignment horizontal="center" vertical="center"/>
    </xf>
    <xf numFmtId="0" fontId="10" fillId="3" borderId="39" xfId="0" applyFont="1" applyFill="1" applyBorder="1" applyAlignment="1">
      <alignment horizontal="center" vertical="center"/>
    </xf>
    <xf numFmtId="0" fontId="5" fillId="0" borderId="9" xfId="0" applyFont="1" applyBorder="1"/>
    <xf numFmtId="0" fontId="5" fillId="0" borderId="13" xfId="0" applyFont="1" applyBorder="1"/>
    <xf numFmtId="0" fontId="6" fillId="0" borderId="0" xfId="0" applyFont="1"/>
    <xf numFmtId="0" fontId="4" fillId="4" borderId="0" xfId="0" applyFont="1" applyFill="1"/>
    <xf numFmtId="0" fontId="4" fillId="6" borderId="0" xfId="0" applyFont="1" applyFill="1"/>
    <xf numFmtId="0" fontId="4" fillId="7" borderId="40" xfId="0" applyFont="1" applyFill="1" applyBorder="1"/>
    <xf numFmtId="0" fontId="4" fillId="7" borderId="41" xfId="0" applyFont="1" applyFill="1" applyBorder="1"/>
    <xf numFmtId="0" fontId="4" fillId="7" borderId="42" xfId="0" applyFont="1" applyFill="1" applyBorder="1"/>
    <xf numFmtId="0" fontId="4" fillId="7" borderId="0" xfId="0" applyFont="1" applyFill="1" applyBorder="1"/>
    <xf numFmtId="0" fontId="4" fillId="7" borderId="43" xfId="0" applyFont="1" applyFill="1" applyBorder="1"/>
    <xf numFmtId="0" fontId="4" fillId="7" borderId="44" xfId="0" applyFont="1" applyFill="1" applyBorder="1"/>
    <xf numFmtId="179" fontId="15" fillId="3" borderId="45" xfId="0" applyNumberFormat="1" applyFont="1" applyFill="1" applyBorder="1" applyAlignment="1">
      <alignment horizontal="center" vertical="center"/>
    </xf>
    <xf numFmtId="179" fontId="15" fillId="3" borderId="46" xfId="0" applyNumberFormat="1" applyFont="1" applyFill="1" applyBorder="1" applyAlignment="1">
      <alignment horizontal="center" vertical="center"/>
    </xf>
    <xf numFmtId="179" fontId="15" fillId="3" borderId="47" xfId="0" applyNumberFormat="1" applyFont="1" applyFill="1" applyBorder="1" applyAlignment="1">
      <alignment horizontal="center" vertical="center"/>
    </xf>
    <xf numFmtId="179" fontId="15" fillId="3" borderId="48" xfId="0" applyNumberFormat="1" applyFont="1" applyFill="1" applyBorder="1" applyAlignment="1">
      <alignment horizontal="center" vertical="center"/>
    </xf>
    <xf numFmtId="179" fontId="15" fillId="3" borderId="49" xfId="0" applyNumberFormat="1" applyFont="1" applyFill="1" applyBorder="1" applyAlignment="1">
      <alignment horizontal="center" vertical="center"/>
    </xf>
    <xf numFmtId="179" fontId="15" fillId="3" borderId="50" xfId="0" applyNumberFormat="1" applyFont="1" applyFill="1" applyBorder="1" applyAlignment="1">
      <alignment horizontal="center" vertical="center"/>
    </xf>
    <xf numFmtId="0" fontId="5" fillId="5" borderId="51" xfId="0" applyFont="1" applyFill="1" applyBorder="1" applyAlignment="1">
      <alignment horizontal="center"/>
    </xf>
    <xf numFmtId="0" fontId="5" fillId="5" borderId="52" xfId="0" applyFont="1" applyFill="1" applyBorder="1" applyAlignment="1">
      <alignment horizontal="center"/>
    </xf>
    <xf numFmtId="0" fontId="4" fillId="7" borderId="53" xfId="0" applyFont="1" applyFill="1" applyBorder="1"/>
    <xf numFmtId="0" fontId="4" fillId="7" borderId="54" xfId="0" applyFont="1" applyFill="1" applyBorder="1"/>
    <xf numFmtId="0" fontId="16" fillId="6" borderId="0" xfId="0" applyFon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3"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colors>
    <mruColors>
      <color rgb="00DFCDC3"/>
      <color rgb="0071919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Spin" dx="16" fmlaLink="$A$2" max="2050" min="1900" page="10" val="2021"/>
</file>

<file path=xl/ctrlProps/ctrlProp2.xml><?xml version="1.0" encoding="utf-8"?>
<formControlPr xmlns="http://schemas.microsoft.com/office/spreadsheetml/2009/9/main" objectType="Spin" dx="16" fmlaLink="$C$2" max="12" min="1" page="10" val="1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27599;&#26085;&#24037;&#20316;&#35745;&#21010;!A1"/><Relationship Id="rId1" Type="http://schemas.openxmlformats.org/officeDocument/2006/relationships/hyperlink" Target="#&#26376;&#24230;&#24037;&#20316;&#35745;&#21010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828674</xdr:colOff>
      <xdr:row>22</xdr:row>
      <xdr:rowOff>0</xdr:rowOff>
    </xdr:to>
    <xdr:sp>
      <xdr:nvSpPr>
        <xdr:cNvPr id="2" name="矩形 1"/>
        <xdr:cNvSpPr/>
      </xdr:nvSpPr>
      <xdr:spPr>
        <a:xfrm>
          <a:off x="0" y="0"/>
          <a:ext cx="1666240" cy="4638675"/>
        </a:xfrm>
        <a:prstGeom prst="rect">
          <a:avLst/>
        </a:prstGeom>
        <a:solidFill>
          <a:srgbClr val="E6E6E6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800">
            <a:solidFill>
              <a:srgbClr val="0066FF"/>
            </a:solidFill>
          </a:endParaRPr>
        </a:p>
      </xdr:txBody>
    </xdr:sp>
    <xdr:clientData/>
  </xdr:twoCellAnchor>
  <xdr:twoCellAnchor>
    <xdr:from>
      <xdr:col>0</xdr:col>
      <xdr:colOff>494908</xdr:colOff>
      <xdr:row>1</xdr:row>
      <xdr:rowOff>28575</xdr:rowOff>
    </xdr:from>
    <xdr:to>
      <xdr:col>1</xdr:col>
      <xdr:colOff>721551</xdr:colOff>
      <xdr:row>21</xdr:row>
      <xdr:rowOff>76200</xdr:rowOff>
    </xdr:to>
    <xdr:sp>
      <xdr:nvSpPr>
        <xdr:cNvPr id="3" name="TextBox 15"/>
        <xdr:cNvSpPr txBox="1"/>
      </xdr:nvSpPr>
      <xdr:spPr>
        <a:xfrm>
          <a:off x="494665" y="238125"/>
          <a:ext cx="1064895" cy="4257675"/>
        </a:xfrm>
        <a:prstGeom prst="rect">
          <a:avLst/>
        </a:prstGeom>
        <a:noFill/>
      </xdr:spPr>
      <xdr:txBody>
        <a:bodyPr vert="eaVert" wrap="square" rtlCol="0" anchor="ctr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4000" b="1" spc="50">
              <a:ln w="11430"/>
              <a:solidFill>
                <a:schemeClr val="tx1">
                  <a:lumMod val="75000"/>
                  <a:lumOff val="25000"/>
                </a:schemeClr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微软雅黑" panose="020B0503020204020204" pitchFamily="34" charset="-122"/>
              <a:ea typeface="微软雅黑" panose="020B0503020204020204" pitchFamily="34" charset="-122"/>
              <a:cs typeface="经典繁仿黑" pitchFamily="49" charset="-122"/>
            </a:rPr>
            <a:t>工作计划管理系统</a:t>
          </a:r>
          <a:endParaRPr lang="zh-CN" altLang="en-US" sz="4000" b="1" spc="50">
            <a:ln w="11430"/>
            <a:solidFill>
              <a:schemeClr val="tx1">
                <a:lumMod val="75000"/>
                <a:lumOff val="25000"/>
              </a:schemeClr>
            </a:solidFill>
            <a:effectLst>
              <a:outerShdw blurRad="38100" dist="38100" dir="2700000" algn="tl">
                <a:srgbClr val="000000">
                  <a:alpha val="43137"/>
                </a:srgbClr>
              </a:outerShdw>
            </a:effectLst>
            <a:latin typeface="微软雅黑" panose="020B0503020204020204" pitchFamily="34" charset="-122"/>
            <a:ea typeface="微软雅黑" panose="020B0503020204020204" pitchFamily="34" charset="-122"/>
            <a:cs typeface="经典繁仿黑" pitchFamily="49" charset="-122"/>
          </a:endParaRPr>
        </a:p>
      </xdr:txBody>
    </xdr:sp>
    <xdr:clientData/>
  </xdr:twoCellAnchor>
  <xdr:twoCellAnchor>
    <xdr:from>
      <xdr:col>0</xdr:col>
      <xdr:colOff>45240</xdr:colOff>
      <xdr:row>0</xdr:row>
      <xdr:rowOff>47625</xdr:rowOff>
    </xdr:from>
    <xdr:to>
      <xdr:col>0</xdr:col>
      <xdr:colOff>625976</xdr:colOff>
      <xdr:row>13</xdr:row>
      <xdr:rowOff>203795</xdr:rowOff>
    </xdr:to>
    <xdr:sp>
      <xdr:nvSpPr>
        <xdr:cNvPr id="4" name="矩形 3"/>
        <xdr:cNvSpPr/>
      </xdr:nvSpPr>
      <xdr:spPr>
        <a:xfrm>
          <a:off x="45085" y="47625"/>
          <a:ext cx="580390" cy="2898775"/>
        </a:xfrm>
        <a:prstGeom prst="rect">
          <a:avLst/>
        </a:prstGeom>
      </xdr:spPr>
      <xdr:txBody>
        <a:bodyPr vert="eaVert" wrap="square" anchor="ctr">
          <a:sp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800">
              <a:solidFill>
                <a:srgbClr val="FF85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经典繁仿黑" pitchFamily="49" charset="-122"/>
            </a:rPr>
            <a:t>武汉某某有限公司</a:t>
          </a:r>
          <a:r>
            <a:rPr lang="en-US" altLang="zh-CN" sz="1800">
              <a:solidFill>
                <a:srgbClr val="FF85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经典繁仿黑" pitchFamily="49" charset="-122"/>
            </a:rPr>
            <a:t>——</a:t>
          </a:r>
          <a:endParaRPr lang="zh-CN" altLang="en-US" sz="1800">
            <a:solidFill>
              <a:srgbClr val="FF8500"/>
            </a:solidFill>
            <a:latin typeface="微软雅黑" panose="020B0503020204020204" pitchFamily="34" charset="-122"/>
            <a:ea typeface="微软雅黑" panose="020B0503020204020204" pitchFamily="34" charset="-122"/>
            <a:cs typeface="经典繁仿黑" pitchFamily="49" charset="-122"/>
          </a:endParaRPr>
        </a:p>
      </xdr:txBody>
    </xdr:sp>
    <xdr:clientData/>
  </xdr:twoCellAnchor>
  <xdr:twoCellAnchor>
    <xdr:from>
      <xdr:col>1</xdr:col>
      <xdr:colOff>342900</xdr:colOff>
      <xdr:row>2</xdr:row>
      <xdr:rowOff>0</xdr:rowOff>
    </xdr:from>
    <xdr:to>
      <xdr:col>1</xdr:col>
      <xdr:colOff>628650</xdr:colOff>
      <xdr:row>20</xdr:row>
      <xdr:rowOff>171450</xdr:rowOff>
    </xdr:to>
    <xdr:sp>
      <xdr:nvSpPr>
        <xdr:cNvPr id="13" name="TextBox 12"/>
        <xdr:cNvSpPr txBox="1"/>
      </xdr:nvSpPr>
      <xdr:spPr>
        <a:xfrm>
          <a:off x="1181100" y="419100"/>
          <a:ext cx="285750" cy="396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US" altLang="zh-CN" sz="1400">
              <a:solidFill>
                <a:schemeClr val="accent4">
                  <a:lumMod val="75000"/>
                </a:schemeClr>
              </a:solidFill>
            </a:rPr>
            <a:t>Work plan management system </a:t>
          </a:r>
          <a:endParaRPr lang="zh-CN" altLang="en-US" sz="1400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323850</xdr:colOff>
      <xdr:row>7</xdr:row>
      <xdr:rowOff>38100</xdr:rowOff>
    </xdr:from>
    <xdr:to>
      <xdr:col>3</xdr:col>
      <xdr:colOff>714375</xdr:colOff>
      <xdr:row>14</xdr:row>
      <xdr:rowOff>85725</xdr:rowOff>
    </xdr:to>
    <xdr:grpSp>
      <xdr:nvGrpSpPr>
        <xdr:cNvPr id="80" name="组合 79">
          <a:hlinkClick xmlns:r="http://schemas.openxmlformats.org/officeDocument/2006/relationships" r:id="rId1"/>
        </xdr:cNvPr>
        <xdr:cNvGrpSpPr/>
      </xdr:nvGrpSpPr>
      <xdr:grpSpPr>
        <a:xfrm>
          <a:off x="2133600" y="1524000"/>
          <a:ext cx="1228725" cy="1514475"/>
          <a:chOff x="2133600" y="1504950"/>
          <a:chExt cx="1228725" cy="1514475"/>
        </a:xfrm>
      </xdr:grpSpPr>
      <xdr:grpSp>
        <xdr:nvGrpSpPr>
          <xdr:cNvPr id="52" name="组合 51"/>
          <xdr:cNvGrpSpPr/>
        </xdr:nvGrpSpPr>
        <xdr:grpSpPr>
          <a:xfrm>
            <a:off x="2295525" y="1504950"/>
            <a:ext cx="972000" cy="1080000"/>
            <a:chOff x="10017918" y="296862"/>
            <a:chExt cx="279400" cy="365125"/>
          </a:xfrm>
        </xdr:grpSpPr>
        <xdr:sp>
          <xdr:nvSpPr>
            <xdr:cNvPr id="53" name="Freeform 510"/>
            <xdr:cNvSpPr/>
          </xdr:nvSpPr>
          <xdr:spPr>
            <a:xfrm>
              <a:off x="10017918" y="296862"/>
              <a:ext cx="279400" cy="365125"/>
            </a:xfrm>
            <a:custGeom>
              <a:avLst/>
              <a:gdLst>
                <a:gd name="T0" fmla="*/ 2 w 36"/>
                <a:gd name="T1" fmla="*/ 47 h 47"/>
                <a:gd name="T2" fmla="*/ 34 w 36"/>
                <a:gd name="T3" fmla="*/ 47 h 47"/>
                <a:gd name="T4" fmla="*/ 36 w 36"/>
                <a:gd name="T5" fmla="*/ 44 h 47"/>
                <a:gd name="T6" fmla="*/ 36 w 36"/>
                <a:gd name="T7" fmla="*/ 2 h 47"/>
                <a:gd name="T8" fmla="*/ 34 w 36"/>
                <a:gd name="T9" fmla="*/ 0 h 47"/>
                <a:gd name="T10" fmla="*/ 28 w 36"/>
                <a:gd name="T11" fmla="*/ 0 h 47"/>
                <a:gd name="T12" fmla="*/ 25 w 36"/>
                <a:gd name="T13" fmla="*/ 0 h 47"/>
                <a:gd name="T14" fmla="*/ 10 w 36"/>
                <a:gd name="T15" fmla="*/ 0 h 47"/>
                <a:gd name="T16" fmla="*/ 8 w 36"/>
                <a:gd name="T17" fmla="*/ 0 h 47"/>
                <a:gd name="T18" fmla="*/ 2 w 36"/>
                <a:gd name="T19" fmla="*/ 0 h 47"/>
                <a:gd name="T20" fmla="*/ 0 w 36"/>
                <a:gd name="T21" fmla="*/ 2 h 47"/>
                <a:gd name="T22" fmla="*/ 0 w 36"/>
                <a:gd name="T23" fmla="*/ 44 h 47"/>
                <a:gd name="T24" fmla="*/ 2 w 36"/>
                <a:gd name="T25" fmla="*/ 47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</a:cxnLst>
              <a:rect l="0" t="0" r="r" b="b"/>
              <a:pathLst>
                <a:path w="36" h="47">
                  <a:moveTo>
                    <a:pt x="2" y="47"/>
                  </a:moveTo>
                  <a:cubicBezTo>
                    <a:pt x="34" y="47"/>
                    <a:pt x="34" y="47"/>
                    <a:pt x="34" y="47"/>
                  </a:cubicBezTo>
                  <a:cubicBezTo>
                    <a:pt x="35" y="47"/>
                    <a:pt x="36" y="45"/>
                    <a:pt x="36" y="44"/>
                  </a:cubicBezTo>
                  <a:cubicBezTo>
                    <a:pt x="36" y="2"/>
                    <a:pt x="36" y="2"/>
                    <a:pt x="36" y="2"/>
                  </a:cubicBezTo>
                  <a:cubicBezTo>
                    <a:pt x="36" y="1"/>
                    <a:pt x="35" y="0"/>
                    <a:pt x="34" y="0"/>
                  </a:cubicBezTo>
                  <a:cubicBezTo>
                    <a:pt x="28" y="0"/>
                    <a:pt x="28" y="0"/>
                    <a:pt x="28" y="0"/>
                  </a:cubicBezTo>
                  <a:cubicBezTo>
                    <a:pt x="25" y="0"/>
                    <a:pt x="25" y="0"/>
                    <a:pt x="25" y="0"/>
                  </a:cubicBezTo>
                  <a:cubicBezTo>
                    <a:pt x="10" y="0"/>
                    <a:pt x="10" y="0"/>
                    <a:pt x="10" y="0"/>
                  </a:cubicBezTo>
                  <a:cubicBezTo>
                    <a:pt x="8" y="0"/>
                    <a:pt x="8" y="0"/>
                    <a:pt x="8" y="0"/>
                  </a:cubicBezTo>
                  <a:cubicBezTo>
                    <a:pt x="2" y="0"/>
                    <a:pt x="2" y="0"/>
                    <a:pt x="2" y="0"/>
                  </a:cubicBezTo>
                  <a:cubicBezTo>
                    <a:pt x="1" y="0"/>
                    <a:pt x="0" y="1"/>
                    <a:pt x="0" y="2"/>
                  </a:cubicBezTo>
                  <a:cubicBezTo>
                    <a:pt x="0" y="44"/>
                    <a:pt x="0" y="44"/>
                    <a:pt x="0" y="44"/>
                  </a:cubicBezTo>
                  <a:cubicBezTo>
                    <a:pt x="0" y="45"/>
                    <a:pt x="1" y="47"/>
                    <a:pt x="2" y="47"/>
                  </a:cubicBezTo>
                  <a:close/>
                </a:path>
              </a:pathLst>
            </a:custGeom>
            <a:solidFill>
              <a:srgbClr val="2C3E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54" name="Freeform 511"/>
            <xdr:cNvSpPr/>
          </xdr:nvSpPr>
          <xdr:spPr>
            <a:xfrm>
              <a:off x="10048081" y="320675"/>
              <a:ext cx="217487" cy="311150"/>
            </a:xfrm>
            <a:custGeom>
              <a:avLst/>
              <a:gdLst>
                <a:gd name="T0" fmla="*/ 28 w 28"/>
                <a:gd name="T1" fmla="*/ 0 h 40"/>
                <a:gd name="T2" fmla="*/ 28 w 28"/>
                <a:gd name="T3" fmla="*/ 40 h 40"/>
                <a:gd name="T4" fmla="*/ 0 w 28"/>
                <a:gd name="T5" fmla="*/ 40 h 40"/>
                <a:gd name="T6" fmla="*/ 0 w 28"/>
                <a:gd name="T7" fmla="*/ 0 h 40"/>
                <a:gd name="T8" fmla="*/ 28 w 28"/>
                <a:gd name="T9" fmla="*/ 0 h 4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8" h="40">
                  <a:moveTo>
                    <a:pt x="28" y="0"/>
                  </a:moveTo>
                  <a:cubicBezTo>
                    <a:pt x="28" y="40"/>
                    <a:pt x="28" y="40"/>
                    <a:pt x="28" y="40"/>
                  </a:cubicBezTo>
                  <a:cubicBezTo>
                    <a:pt x="0" y="40"/>
                    <a:pt x="0" y="40"/>
                    <a:pt x="0" y="4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9" y="0"/>
                    <a:pt x="19" y="0"/>
                    <a:pt x="28" y="0"/>
                  </a:cubicBezTo>
                  <a:close/>
                </a:path>
              </a:pathLst>
            </a:custGeom>
            <a:solidFill>
              <a:srgbClr val="ECF0F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55" name="Rectangle 512"/>
            <xdr:cNvSpPr>
              <a:spLocks noChangeArrowheads="1"/>
            </xdr:cNvSpPr>
          </xdr:nvSpPr>
          <xdr:spPr>
            <a:xfrm>
              <a:off x="10048081" y="320675"/>
              <a:ext cx="109537" cy="311150"/>
            </a:xfrm>
            <a:prstGeom prst="rect">
              <a:avLst/>
            </a:prstGeom>
            <a:solidFill>
              <a:srgbClr val="DAE1E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56" name="Freeform 513"/>
            <xdr:cNvSpPr>
              <a:spLocks noEditPoints="1"/>
            </xdr:cNvSpPr>
          </xdr:nvSpPr>
          <xdr:spPr>
            <a:xfrm>
              <a:off x="10102056" y="296862"/>
              <a:ext cx="109537" cy="53975"/>
            </a:xfrm>
            <a:custGeom>
              <a:avLst/>
              <a:gdLst>
                <a:gd name="T0" fmla="*/ 0 w 14"/>
                <a:gd name="T1" fmla="*/ 7 h 7"/>
                <a:gd name="T2" fmla="*/ 0 w 14"/>
                <a:gd name="T3" fmla="*/ 0 h 7"/>
                <a:gd name="T4" fmla="*/ 14 w 14"/>
                <a:gd name="T5" fmla="*/ 0 h 7"/>
                <a:gd name="T6" fmla="*/ 14 w 14"/>
                <a:gd name="T7" fmla="*/ 7 h 7"/>
                <a:gd name="T8" fmla="*/ 0 w 14"/>
                <a:gd name="T9" fmla="*/ 7 h 7"/>
                <a:gd name="T10" fmla="*/ 12 w 14"/>
                <a:gd name="T11" fmla="*/ 6 h 7"/>
                <a:gd name="T12" fmla="*/ 12 w 14"/>
                <a:gd name="T13" fmla="*/ 1 h 7"/>
                <a:gd name="T14" fmla="*/ 2 w 14"/>
                <a:gd name="T15" fmla="*/ 1 h 7"/>
                <a:gd name="T16" fmla="*/ 2 w 14"/>
                <a:gd name="T17" fmla="*/ 6 h 7"/>
                <a:gd name="T18" fmla="*/ 12 w 14"/>
                <a:gd name="T19" fmla="*/ 6 h 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4" h="7">
                  <a:moveTo>
                    <a:pt x="0" y="7"/>
                  </a:moveTo>
                  <a:cubicBezTo>
                    <a:pt x="0" y="0"/>
                    <a:pt x="0" y="0"/>
                    <a:pt x="0" y="0"/>
                  </a:cubicBezTo>
                  <a:cubicBezTo>
                    <a:pt x="14" y="0"/>
                    <a:pt x="14" y="0"/>
                    <a:pt x="14" y="0"/>
                  </a:cubicBezTo>
                  <a:cubicBezTo>
                    <a:pt x="14" y="7"/>
                    <a:pt x="14" y="7"/>
                    <a:pt x="14" y="7"/>
                  </a:cubicBezTo>
                  <a:cubicBezTo>
                    <a:pt x="0" y="7"/>
                    <a:pt x="0" y="7"/>
                    <a:pt x="0" y="7"/>
                  </a:cubicBezTo>
                  <a:close/>
                  <a:moveTo>
                    <a:pt x="12" y="6"/>
                  </a:moveTo>
                  <a:cubicBezTo>
                    <a:pt x="12" y="4"/>
                    <a:pt x="12" y="3"/>
                    <a:pt x="12" y="1"/>
                  </a:cubicBezTo>
                  <a:cubicBezTo>
                    <a:pt x="9" y="1"/>
                    <a:pt x="5" y="1"/>
                    <a:pt x="2" y="1"/>
                  </a:cubicBezTo>
                  <a:cubicBezTo>
                    <a:pt x="2" y="3"/>
                    <a:pt x="2" y="4"/>
                    <a:pt x="2" y="6"/>
                  </a:cubicBezTo>
                  <a:cubicBezTo>
                    <a:pt x="5" y="6"/>
                    <a:pt x="9" y="6"/>
                    <a:pt x="12" y="6"/>
                  </a:cubicBezTo>
                  <a:close/>
                </a:path>
              </a:pathLst>
            </a:custGeom>
            <a:solidFill>
              <a:srgbClr val="66666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57" name="Freeform 514"/>
            <xdr:cNvSpPr/>
          </xdr:nvSpPr>
          <xdr:spPr>
            <a:xfrm>
              <a:off x="10071893" y="398462"/>
              <a:ext cx="15875" cy="14288"/>
            </a:xfrm>
            <a:custGeom>
              <a:avLst/>
              <a:gdLst>
                <a:gd name="T0" fmla="*/ 1 w 2"/>
                <a:gd name="T1" fmla="*/ 0 h 2"/>
                <a:gd name="T2" fmla="*/ 1 w 2"/>
                <a:gd name="T3" fmla="*/ 0 h 2"/>
                <a:gd name="T4" fmla="*/ 2 w 2"/>
                <a:gd name="T5" fmla="*/ 1 h 2"/>
                <a:gd name="T6" fmla="*/ 2 w 2"/>
                <a:gd name="T7" fmla="*/ 1 h 2"/>
                <a:gd name="T8" fmla="*/ 1 w 2"/>
                <a:gd name="T9" fmla="*/ 2 h 2"/>
                <a:gd name="T10" fmla="*/ 1 w 2"/>
                <a:gd name="T11" fmla="*/ 2 h 2"/>
                <a:gd name="T12" fmla="*/ 0 w 2"/>
                <a:gd name="T13" fmla="*/ 1 h 2"/>
                <a:gd name="T14" fmla="*/ 0 w 2"/>
                <a:gd name="T15" fmla="*/ 1 h 2"/>
                <a:gd name="T16" fmla="*/ 1 w 2"/>
                <a:gd name="T1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" h="2">
                  <a:moveTo>
                    <a:pt x="1" y="0"/>
                  </a:moveTo>
                  <a:cubicBezTo>
                    <a:pt x="1" y="0"/>
                    <a:pt x="1" y="0"/>
                    <a:pt x="1" y="0"/>
                  </a:cubicBezTo>
                  <a:cubicBezTo>
                    <a:pt x="2" y="0"/>
                    <a:pt x="2" y="1"/>
                    <a:pt x="2" y="1"/>
                  </a:cubicBezTo>
                  <a:cubicBezTo>
                    <a:pt x="2" y="1"/>
                    <a:pt x="2" y="1"/>
                    <a:pt x="2" y="1"/>
                  </a:cubicBezTo>
                  <a:cubicBezTo>
                    <a:pt x="2" y="2"/>
                    <a:pt x="2" y="2"/>
                    <a:pt x="1" y="2"/>
                  </a:cubicBezTo>
                  <a:cubicBezTo>
                    <a:pt x="1" y="2"/>
                    <a:pt x="1" y="2"/>
                    <a:pt x="1" y="2"/>
                  </a:cubicBezTo>
                  <a:cubicBezTo>
                    <a:pt x="0" y="2"/>
                    <a:pt x="0" y="2"/>
                    <a:pt x="0" y="1"/>
                  </a:cubicBezTo>
                  <a:cubicBezTo>
                    <a:pt x="0" y="1"/>
                    <a:pt x="0" y="1"/>
                    <a:pt x="0" y="1"/>
                  </a:cubicBezTo>
                  <a:cubicBezTo>
                    <a:pt x="0" y="1"/>
                    <a:pt x="0" y="0"/>
                    <a:pt x="1" y="0"/>
                  </a:cubicBezTo>
                  <a:close/>
                </a:path>
              </a:pathLst>
            </a:custGeom>
            <a:solidFill>
              <a:srgbClr val="E0282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58" name="Freeform 515"/>
            <xdr:cNvSpPr/>
          </xdr:nvSpPr>
          <xdr:spPr>
            <a:xfrm>
              <a:off x="10071893" y="444500"/>
              <a:ext cx="15875" cy="15875"/>
            </a:xfrm>
            <a:custGeom>
              <a:avLst/>
              <a:gdLst>
                <a:gd name="T0" fmla="*/ 1 w 2"/>
                <a:gd name="T1" fmla="*/ 0 h 2"/>
                <a:gd name="T2" fmla="*/ 1 w 2"/>
                <a:gd name="T3" fmla="*/ 0 h 2"/>
                <a:gd name="T4" fmla="*/ 2 w 2"/>
                <a:gd name="T5" fmla="*/ 1 h 2"/>
                <a:gd name="T6" fmla="*/ 2 w 2"/>
                <a:gd name="T7" fmla="*/ 1 h 2"/>
                <a:gd name="T8" fmla="*/ 1 w 2"/>
                <a:gd name="T9" fmla="*/ 2 h 2"/>
                <a:gd name="T10" fmla="*/ 1 w 2"/>
                <a:gd name="T11" fmla="*/ 2 h 2"/>
                <a:gd name="T12" fmla="*/ 0 w 2"/>
                <a:gd name="T13" fmla="*/ 1 h 2"/>
                <a:gd name="T14" fmla="*/ 0 w 2"/>
                <a:gd name="T15" fmla="*/ 1 h 2"/>
                <a:gd name="T16" fmla="*/ 1 w 2"/>
                <a:gd name="T1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" h="2">
                  <a:moveTo>
                    <a:pt x="1" y="0"/>
                  </a:moveTo>
                  <a:cubicBezTo>
                    <a:pt x="1" y="0"/>
                    <a:pt x="1" y="0"/>
                    <a:pt x="1" y="0"/>
                  </a:cubicBezTo>
                  <a:cubicBezTo>
                    <a:pt x="2" y="0"/>
                    <a:pt x="2" y="0"/>
                    <a:pt x="2" y="1"/>
                  </a:cubicBezTo>
                  <a:cubicBezTo>
                    <a:pt x="2" y="1"/>
                    <a:pt x="2" y="1"/>
                    <a:pt x="2" y="1"/>
                  </a:cubicBezTo>
                  <a:cubicBezTo>
                    <a:pt x="2" y="1"/>
                    <a:pt x="2" y="2"/>
                    <a:pt x="1" y="2"/>
                  </a:cubicBezTo>
                  <a:cubicBezTo>
                    <a:pt x="1" y="2"/>
                    <a:pt x="1" y="2"/>
                    <a:pt x="1" y="2"/>
                  </a:cubicBezTo>
                  <a:cubicBezTo>
                    <a:pt x="0" y="2"/>
                    <a:pt x="0" y="1"/>
                    <a:pt x="0" y="1"/>
                  </a:cubicBezTo>
                  <a:cubicBezTo>
                    <a:pt x="0" y="1"/>
                    <a:pt x="0" y="1"/>
                    <a:pt x="0" y="1"/>
                  </a:cubicBezTo>
                  <a:cubicBezTo>
                    <a:pt x="0" y="0"/>
                    <a:pt x="0" y="0"/>
                    <a:pt x="1" y="0"/>
                  </a:cubicBezTo>
                  <a:close/>
                </a:path>
              </a:pathLst>
            </a:custGeom>
            <a:solidFill>
              <a:srgbClr val="FFCB05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59" name="Freeform 516"/>
            <xdr:cNvSpPr/>
          </xdr:nvSpPr>
          <xdr:spPr>
            <a:xfrm>
              <a:off x="10071893" y="490537"/>
              <a:ext cx="15875" cy="15875"/>
            </a:xfrm>
            <a:custGeom>
              <a:avLst/>
              <a:gdLst>
                <a:gd name="T0" fmla="*/ 1 w 2"/>
                <a:gd name="T1" fmla="*/ 0 h 2"/>
                <a:gd name="T2" fmla="*/ 1 w 2"/>
                <a:gd name="T3" fmla="*/ 0 h 2"/>
                <a:gd name="T4" fmla="*/ 2 w 2"/>
                <a:gd name="T5" fmla="*/ 1 h 2"/>
                <a:gd name="T6" fmla="*/ 2 w 2"/>
                <a:gd name="T7" fmla="*/ 1 h 2"/>
                <a:gd name="T8" fmla="*/ 1 w 2"/>
                <a:gd name="T9" fmla="*/ 2 h 2"/>
                <a:gd name="T10" fmla="*/ 1 w 2"/>
                <a:gd name="T11" fmla="*/ 2 h 2"/>
                <a:gd name="T12" fmla="*/ 0 w 2"/>
                <a:gd name="T13" fmla="*/ 1 h 2"/>
                <a:gd name="T14" fmla="*/ 0 w 2"/>
                <a:gd name="T15" fmla="*/ 1 h 2"/>
                <a:gd name="T16" fmla="*/ 1 w 2"/>
                <a:gd name="T1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" h="2">
                  <a:moveTo>
                    <a:pt x="1" y="0"/>
                  </a:moveTo>
                  <a:cubicBezTo>
                    <a:pt x="1" y="0"/>
                    <a:pt x="1" y="0"/>
                    <a:pt x="1" y="0"/>
                  </a:cubicBezTo>
                  <a:cubicBezTo>
                    <a:pt x="2" y="0"/>
                    <a:pt x="2" y="0"/>
                    <a:pt x="2" y="1"/>
                  </a:cubicBezTo>
                  <a:cubicBezTo>
                    <a:pt x="2" y="1"/>
                    <a:pt x="2" y="1"/>
                    <a:pt x="2" y="1"/>
                  </a:cubicBezTo>
                  <a:cubicBezTo>
                    <a:pt x="2" y="1"/>
                    <a:pt x="2" y="2"/>
                    <a:pt x="1" y="2"/>
                  </a:cubicBezTo>
                  <a:cubicBezTo>
                    <a:pt x="1" y="2"/>
                    <a:pt x="1" y="2"/>
                    <a:pt x="1" y="2"/>
                  </a:cubicBezTo>
                  <a:cubicBezTo>
                    <a:pt x="0" y="2"/>
                    <a:pt x="0" y="1"/>
                    <a:pt x="0" y="1"/>
                  </a:cubicBezTo>
                  <a:cubicBezTo>
                    <a:pt x="0" y="1"/>
                    <a:pt x="0" y="1"/>
                    <a:pt x="0" y="1"/>
                  </a:cubicBezTo>
                  <a:cubicBezTo>
                    <a:pt x="0" y="0"/>
                    <a:pt x="0" y="0"/>
                    <a:pt x="1" y="0"/>
                  </a:cubicBezTo>
                  <a:close/>
                </a:path>
              </a:pathLst>
            </a:custGeom>
            <a:solidFill>
              <a:srgbClr val="66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60" name="Rectangle 517"/>
            <xdr:cNvSpPr>
              <a:spLocks noChangeArrowheads="1"/>
            </xdr:cNvSpPr>
          </xdr:nvSpPr>
          <xdr:spPr>
            <a:xfrm>
              <a:off x="10102056" y="406400"/>
              <a:ext cx="125412" cy="6350"/>
            </a:xfrm>
            <a:prstGeom prst="rect">
              <a:avLst/>
            </a:prstGeom>
            <a:solidFill>
              <a:srgbClr val="2C3E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61" name="Rectangle 518"/>
            <xdr:cNvSpPr>
              <a:spLocks noChangeArrowheads="1"/>
            </xdr:cNvSpPr>
          </xdr:nvSpPr>
          <xdr:spPr>
            <a:xfrm>
              <a:off x="10102056" y="444500"/>
              <a:ext cx="133350" cy="7938"/>
            </a:xfrm>
            <a:prstGeom prst="rect">
              <a:avLst/>
            </a:prstGeom>
            <a:solidFill>
              <a:srgbClr val="2C3E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62" name="Rectangle 519"/>
            <xdr:cNvSpPr>
              <a:spLocks noChangeArrowheads="1"/>
            </xdr:cNvSpPr>
          </xdr:nvSpPr>
          <xdr:spPr>
            <a:xfrm>
              <a:off x="10102056" y="490537"/>
              <a:ext cx="109537" cy="7938"/>
            </a:xfrm>
            <a:prstGeom prst="rect">
              <a:avLst/>
            </a:prstGeom>
            <a:solidFill>
              <a:srgbClr val="2C3E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63" name="Freeform 520"/>
            <xdr:cNvSpPr/>
          </xdr:nvSpPr>
          <xdr:spPr>
            <a:xfrm>
              <a:off x="10102056" y="296862"/>
              <a:ext cx="109537" cy="23813"/>
            </a:xfrm>
            <a:custGeom>
              <a:avLst/>
              <a:gdLst>
                <a:gd name="T0" fmla="*/ 0 w 14"/>
                <a:gd name="T1" fmla="*/ 3 h 3"/>
                <a:gd name="T2" fmla="*/ 0 w 14"/>
                <a:gd name="T3" fmla="*/ 0 h 3"/>
                <a:gd name="T4" fmla="*/ 14 w 14"/>
                <a:gd name="T5" fmla="*/ 0 h 3"/>
                <a:gd name="T6" fmla="*/ 14 w 14"/>
                <a:gd name="T7" fmla="*/ 3 h 3"/>
                <a:gd name="T8" fmla="*/ 12 w 14"/>
                <a:gd name="T9" fmla="*/ 3 h 3"/>
                <a:gd name="T10" fmla="*/ 12 w 14"/>
                <a:gd name="T11" fmla="*/ 1 h 3"/>
                <a:gd name="T12" fmla="*/ 2 w 14"/>
                <a:gd name="T13" fmla="*/ 1 h 3"/>
                <a:gd name="T14" fmla="*/ 2 w 14"/>
                <a:gd name="T15" fmla="*/ 3 h 3"/>
                <a:gd name="T16" fmla="*/ 0 w 14"/>
                <a:gd name="T17" fmla="*/ 3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3">
                  <a:moveTo>
                    <a:pt x="0" y="3"/>
                  </a:moveTo>
                  <a:cubicBezTo>
                    <a:pt x="0" y="0"/>
                    <a:pt x="0" y="0"/>
                    <a:pt x="0" y="0"/>
                  </a:cubicBezTo>
                  <a:cubicBezTo>
                    <a:pt x="14" y="0"/>
                    <a:pt x="14" y="0"/>
                    <a:pt x="14" y="0"/>
                  </a:cubicBezTo>
                  <a:cubicBezTo>
                    <a:pt x="14" y="3"/>
                    <a:pt x="14" y="3"/>
                    <a:pt x="14" y="3"/>
                  </a:cubicBezTo>
                  <a:cubicBezTo>
                    <a:pt x="12" y="3"/>
                    <a:pt x="12" y="3"/>
                    <a:pt x="12" y="3"/>
                  </a:cubicBezTo>
                  <a:cubicBezTo>
                    <a:pt x="12" y="1"/>
                    <a:pt x="12" y="1"/>
                    <a:pt x="12" y="1"/>
                  </a:cubicBezTo>
                  <a:cubicBezTo>
                    <a:pt x="9" y="1"/>
                    <a:pt x="5" y="1"/>
                    <a:pt x="2" y="1"/>
                  </a:cubicBezTo>
                  <a:cubicBezTo>
                    <a:pt x="2" y="3"/>
                    <a:pt x="2" y="3"/>
                    <a:pt x="2" y="3"/>
                  </a:cubicBezTo>
                  <a:lnTo>
                    <a:pt x="0" y="3"/>
                  </a:lnTo>
                  <a:close/>
                </a:path>
              </a:pathLst>
            </a:custGeom>
            <a:solidFill>
              <a:srgbClr val="99999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</xdr:grpSp>
      <xdr:sp>
        <xdr:nvSpPr>
          <xdr:cNvPr id="77" name="TextBox 76"/>
          <xdr:cNvSpPr txBox="1"/>
        </xdr:nvSpPr>
        <xdr:spPr>
          <a:xfrm>
            <a:off x="2133600" y="2686050"/>
            <a:ext cx="1228725" cy="3333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zh-CN" altLang="en-US" sz="1100" b="1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月度工作计划</a:t>
            </a:r>
            <a:endParaRPr lang="zh-CN" altLang="en-US" sz="1100" b="1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  <xdr:twoCellAnchor>
    <xdr:from>
      <xdr:col>4</xdr:col>
      <xdr:colOff>590550</xdr:colOff>
      <xdr:row>7</xdr:row>
      <xdr:rowOff>38100</xdr:rowOff>
    </xdr:from>
    <xdr:to>
      <xdr:col>6</xdr:col>
      <xdr:colOff>265570</xdr:colOff>
      <xdr:row>14</xdr:row>
      <xdr:rowOff>85725</xdr:rowOff>
    </xdr:to>
    <xdr:grpSp>
      <xdr:nvGrpSpPr>
        <xdr:cNvPr id="81" name="组合 80">
          <a:hlinkClick xmlns:r="http://schemas.openxmlformats.org/officeDocument/2006/relationships" r:id="rId2"/>
        </xdr:cNvPr>
        <xdr:cNvGrpSpPr/>
      </xdr:nvGrpSpPr>
      <xdr:grpSpPr>
        <a:xfrm>
          <a:off x="4076700" y="1524000"/>
          <a:ext cx="1198880" cy="1514475"/>
          <a:chOff x="4200912" y="1504950"/>
          <a:chExt cx="1043050" cy="1514475"/>
        </a:xfrm>
      </xdr:grpSpPr>
      <xdr:grpSp>
        <xdr:nvGrpSpPr>
          <xdr:cNvPr id="35" name="组合 34"/>
          <xdr:cNvGrpSpPr/>
        </xdr:nvGrpSpPr>
        <xdr:grpSpPr>
          <a:xfrm>
            <a:off x="4271962" y="1504950"/>
            <a:ext cx="972000" cy="1080000"/>
            <a:chOff x="8354219" y="3684587"/>
            <a:chExt cx="357187" cy="327025"/>
          </a:xfrm>
        </xdr:grpSpPr>
        <xdr:sp>
          <xdr:nvSpPr>
            <xdr:cNvPr id="36" name="Oval 1742"/>
            <xdr:cNvSpPr>
              <a:spLocks noChangeArrowheads="1"/>
            </xdr:cNvSpPr>
          </xdr:nvSpPr>
          <xdr:spPr>
            <a:xfrm>
              <a:off x="8354219" y="3684587"/>
              <a:ext cx="317500" cy="319088"/>
            </a:xfrm>
            <a:prstGeom prst="ellipse">
              <a:avLst/>
            </a:prstGeom>
            <a:solidFill>
              <a:srgbClr val="ECF0F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37" name="Freeform 1743"/>
            <xdr:cNvSpPr>
              <a:spLocks noEditPoints="1"/>
            </xdr:cNvSpPr>
          </xdr:nvSpPr>
          <xdr:spPr>
            <a:xfrm>
              <a:off x="8362156" y="3692525"/>
              <a:ext cx="309563" cy="311150"/>
            </a:xfrm>
            <a:custGeom>
              <a:avLst/>
              <a:gdLst>
                <a:gd name="T0" fmla="*/ 6 w 40"/>
                <a:gd name="T1" fmla="*/ 6 h 40"/>
                <a:gd name="T2" fmla="*/ 20 w 40"/>
                <a:gd name="T3" fmla="*/ 0 h 40"/>
                <a:gd name="T4" fmla="*/ 34 w 40"/>
                <a:gd name="T5" fmla="*/ 6 h 40"/>
                <a:gd name="T6" fmla="*/ 40 w 40"/>
                <a:gd name="T7" fmla="*/ 20 h 40"/>
                <a:gd name="T8" fmla="*/ 34 w 40"/>
                <a:gd name="T9" fmla="*/ 34 h 40"/>
                <a:gd name="T10" fmla="*/ 20 w 40"/>
                <a:gd name="T11" fmla="*/ 40 h 40"/>
                <a:gd name="T12" fmla="*/ 6 w 40"/>
                <a:gd name="T13" fmla="*/ 34 h 40"/>
                <a:gd name="T14" fmla="*/ 0 w 40"/>
                <a:gd name="T15" fmla="*/ 20 h 40"/>
                <a:gd name="T16" fmla="*/ 6 w 40"/>
                <a:gd name="T17" fmla="*/ 6 h 40"/>
                <a:gd name="T18" fmla="*/ 31 w 40"/>
                <a:gd name="T19" fmla="*/ 9 h 40"/>
                <a:gd name="T20" fmla="*/ 26 w 40"/>
                <a:gd name="T21" fmla="*/ 5 h 40"/>
                <a:gd name="T22" fmla="*/ 20 w 40"/>
                <a:gd name="T23" fmla="*/ 4 h 40"/>
                <a:gd name="T24" fmla="*/ 14 w 40"/>
                <a:gd name="T25" fmla="*/ 5 h 40"/>
                <a:gd name="T26" fmla="*/ 8 w 40"/>
                <a:gd name="T27" fmla="*/ 9 h 40"/>
                <a:gd name="T28" fmla="*/ 5 w 40"/>
                <a:gd name="T29" fmla="*/ 14 h 40"/>
                <a:gd name="T30" fmla="*/ 3 w 40"/>
                <a:gd name="T31" fmla="*/ 20 h 40"/>
                <a:gd name="T32" fmla="*/ 5 w 40"/>
                <a:gd name="T33" fmla="*/ 26 h 40"/>
                <a:gd name="T34" fmla="*/ 8 w 40"/>
                <a:gd name="T35" fmla="*/ 32 h 40"/>
                <a:gd name="T36" fmla="*/ 14 w 40"/>
                <a:gd name="T37" fmla="*/ 35 h 40"/>
                <a:gd name="T38" fmla="*/ 20 w 40"/>
                <a:gd name="T39" fmla="*/ 36 h 40"/>
                <a:gd name="T40" fmla="*/ 26 w 40"/>
                <a:gd name="T41" fmla="*/ 35 h 40"/>
                <a:gd name="T42" fmla="*/ 31 w 40"/>
                <a:gd name="T43" fmla="*/ 32 h 40"/>
                <a:gd name="T44" fmla="*/ 35 w 40"/>
                <a:gd name="T45" fmla="*/ 26 h 40"/>
                <a:gd name="T46" fmla="*/ 36 w 40"/>
                <a:gd name="T47" fmla="*/ 20 h 40"/>
                <a:gd name="T48" fmla="*/ 35 w 40"/>
                <a:gd name="T49" fmla="*/ 14 h 40"/>
                <a:gd name="T50" fmla="*/ 31 w 40"/>
                <a:gd name="T51" fmla="*/ 9 h 4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</a:cxnLst>
              <a:rect l="0" t="0" r="r" b="b"/>
              <a:pathLst>
                <a:path w="40" h="40">
                  <a:moveTo>
                    <a:pt x="6" y="6"/>
                  </a:moveTo>
                  <a:cubicBezTo>
                    <a:pt x="9" y="2"/>
                    <a:pt x="14" y="0"/>
                    <a:pt x="20" y="0"/>
                  </a:cubicBezTo>
                  <a:cubicBezTo>
                    <a:pt x="25" y="0"/>
                    <a:pt x="30" y="2"/>
                    <a:pt x="34" y="6"/>
                  </a:cubicBezTo>
                  <a:cubicBezTo>
                    <a:pt x="38" y="10"/>
                    <a:pt x="40" y="15"/>
                    <a:pt x="40" y="20"/>
                  </a:cubicBezTo>
                  <a:cubicBezTo>
                    <a:pt x="40" y="26"/>
                    <a:pt x="38" y="31"/>
                    <a:pt x="34" y="34"/>
                  </a:cubicBezTo>
                  <a:cubicBezTo>
                    <a:pt x="30" y="38"/>
                    <a:pt x="25" y="40"/>
                    <a:pt x="20" y="40"/>
                  </a:cubicBezTo>
                  <a:cubicBezTo>
                    <a:pt x="14" y="40"/>
                    <a:pt x="9" y="38"/>
                    <a:pt x="6" y="34"/>
                  </a:cubicBezTo>
                  <a:cubicBezTo>
                    <a:pt x="2" y="31"/>
                    <a:pt x="0" y="26"/>
                    <a:pt x="0" y="20"/>
                  </a:cubicBezTo>
                  <a:cubicBezTo>
                    <a:pt x="0" y="15"/>
                    <a:pt x="2" y="10"/>
                    <a:pt x="6" y="6"/>
                  </a:cubicBezTo>
                  <a:close/>
                  <a:moveTo>
                    <a:pt x="31" y="9"/>
                  </a:moveTo>
                  <a:cubicBezTo>
                    <a:pt x="30" y="7"/>
                    <a:pt x="28" y="6"/>
                    <a:pt x="26" y="5"/>
                  </a:cubicBezTo>
                  <a:cubicBezTo>
                    <a:pt x="24" y="4"/>
                    <a:pt x="22" y="4"/>
                    <a:pt x="20" y="4"/>
                  </a:cubicBezTo>
                  <a:cubicBezTo>
                    <a:pt x="18" y="4"/>
                    <a:pt x="15" y="4"/>
                    <a:pt x="14" y="5"/>
                  </a:cubicBezTo>
                  <a:cubicBezTo>
                    <a:pt x="12" y="6"/>
                    <a:pt x="10" y="7"/>
                    <a:pt x="8" y="9"/>
                  </a:cubicBezTo>
                  <a:cubicBezTo>
                    <a:pt x="7" y="10"/>
                    <a:pt x="6" y="12"/>
                    <a:pt x="5" y="14"/>
                  </a:cubicBezTo>
                  <a:cubicBezTo>
                    <a:pt x="4" y="16"/>
                    <a:pt x="3" y="18"/>
                    <a:pt x="3" y="20"/>
                  </a:cubicBezTo>
                  <a:cubicBezTo>
                    <a:pt x="3" y="22"/>
                    <a:pt x="4" y="24"/>
                    <a:pt x="5" y="26"/>
                  </a:cubicBezTo>
                  <a:cubicBezTo>
                    <a:pt x="6" y="28"/>
                    <a:pt x="7" y="30"/>
                    <a:pt x="8" y="32"/>
                  </a:cubicBezTo>
                  <a:cubicBezTo>
                    <a:pt x="10" y="33"/>
                    <a:pt x="12" y="34"/>
                    <a:pt x="14" y="35"/>
                  </a:cubicBezTo>
                  <a:cubicBezTo>
                    <a:pt x="15" y="36"/>
                    <a:pt x="18" y="36"/>
                    <a:pt x="20" y="36"/>
                  </a:cubicBezTo>
                  <a:cubicBezTo>
                    <a:pt x="22" y="36"/>
                    <a:pt x="24" y="36"/>
                    <a:pt x="26" y="35"/>
                  </a:cubicBezTo>
                  <a:cubicBezTo>
                    <a:pt x="28" y="34"/>
                    <a:pt x="30" y="33"/>
                    <a:pt x="31" y="32"/>
                  </a:cubicBezTo>
                  <a:cubicBezTo>
                    <a:pt x="33" y="30"/>
                    <a:pt x="34" y="28"/>
                    <a:pt x="35" y="26"/>
                  </a:cubicBezTo>
                  <a:cubicBezTo>
                    <a:pt x="36" y="24"/>
                    <a:pt x="36" y="22"/>
                    <a:pt x="36" y="20"/>
                  </a:cubicBezTo>
                  <a:cubicBezTo>
                    <a:pt x="36" y="18"/>
                    <a:pt x="36" y="16"/>
                    <a:pt x="35" y="14"/>
                  </a:cubicBezTo>
                  <a:cubicBezTo>
                    <a:pt x="34" y="12"/>
                    <a:pt x="33" y="10"/>
                    <a:pt x="31" y="9"/>
                  </a:cubicBezTo>
                  <a:close/>
                </a:path>
              </a:pathLst>
            </a:custGeom>
            <a:solidFill>
              <a:srgbClr val="CCCCC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38" name="Freeform 1744"/>
            <xdr:cNvSpPr>
              <a:spLocks noEditPoints="1"/>
            </xdr:cNvSpPr>
          </xdr:nvSpPr>
          <xdr:spPr>
            <a:xfrm>
              <a:off x="8354219" y="3684587"/>
              <a:ext cx="317500" cy="319088"/>
            </a:xfrm>
            <a:custGeom>
              <a:avLst/>
              <a:gdLst>
                <a:gd name="T0" fmla="*/ 6 w 41"/>
                <a:gd name="T1" fmla="*/ 6 h 41"/>
                <a:gd name="T2" fmla="*/ 20 w 41"/>
                <a:gd name="T3" fmla="*/ 0 h 41"/>
                <a:gd name="T4" fmla="*/ 35 w 41"/>
                <a:gd name="T5" fmla="*/ 6 h 41"/>
                <a:gd name="T6" fmla="*/ 41 w 41"/>
                <a:gd name="T7" fmla="*/ 21 h 41"/>
                <a:gd name="T8" fmla="*/ 35 w 41"/>
                <a:gd name="T9" fmla="*/ 35 h 41"/>
                <a:gd name="T10" fmla="*/ 20 w 41"/>
                <a:gd name="T11" fmla="*/ 41 h 41"/>
                <a:gd name="T12" fmla="*/ 6 w 41"/>
                <a:gd name="T13" fmla="*/ 35 h 41"/>
                <a:gd name="T14" fmla="*/ 0 w 41"/>
                <a:gd name="T15" fmla="*/ 21 h 41"/>
                <a:gd name="T16" fmla="*/ 6 w 41"/>
                <a:gd name="T17" fmla="*/ 6 h 41"/>
                <a:gd name="T18" fmla="*/ 32 w 41"/>
                <a:gd name="T19" fmla="*/ 9 h 41"/>
                <a:gd name="T20" fmla="*/ 27 w 41"/>
                <a:gd name="T21" fmla="*/ 5 h 41"/>
                <a:gd name="T22" fmla="*/ 20 w 41"/>
                <a:gd name="T23" fmla="*/ 4 h 41"/>
                <a:gd name="T24" fmla="*/ 14 w 41"/>
                <a:gd name="T25" fmla="*/ 5 h 41"/>
                <a:gd name="T26" fmla="*/ 8 w 41"/>
                <a:gd name="T27" fmla="*/ 9 h 41"/>
                <a:gd name="T28" fmla="*/ 5 w 41"/>
                <a:gd name="T29" fmla="*/ 14 h 41"/>
                <a:gd name="T30" fmla="*/ 3 w 41"/>
                <a:gd name="T31" fmla="*/ 21 h 41"/>
                <a:gd name="T32" fmla="*/ 5 w 41"/>
                <a:gd name="T33" fmla="*/ 27 h 41"/>
                <a:gd name="T34" fmla="*/ 8 w 41"/>
                <a:gd name="T35" fmla="*/ 32 h 41"/>
                <a:gd name="T36" fmla="*/ 14 w 41"/>
                <a:gd name="T37" fmla="*/ 36 h 41"/>
                <a:gd name="T38" fmla="*/ 20 w 41"/>
                <a:gd name="T39" fmla="*/ 37 h 41"/>
                <a:gd name="T40" fmla="*/ 27 w 41"/>
                <a:gd name="T41" fmla="*/ 36 h 41"/>
                <a:gd name="T42" fmla="*/ 32 w 41"/>
                <a:gd name="T43" fmla="*/ 32 h 41"/>
                <a:gd name="T44" fmla="*/ 36 w 41"/>
                <a:gd name="T45" fmla="*/ 27 h 41"/>
                <a:gd name="T46" fmla="*/ 37 w 41"/>
                <a:gd name="T47" fmla="*/ 21 h 41"/>
                <a:gd name="T48" fmla="*/ 36 w 41"/>
                <a:gd name="T49" fmla="*/ 14 h 41"/>
                <a:gd name="T50" fmla="*/ 32 w 41"/>
                <a:gd name="T51" fmla="*/ 9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</a:cxnLst>
              <a:rect l="0" t="0" r="r" b="b"/>
              <a:pathLst>
                <a:path w="41" h="41">
                  <a:moveTo>
                    <a:pt x="6" y="6"/>
                  </a:moveTo>
                  <a:cubicBezTo>
                    <a:pt x="9" y="2"/>
                    <a:pt x="15" y="0"/>
                    <a:pt x="20" y="0"/>
                  </a:cubicBezTo>
                  <a:cubicBezTo>
                    <a:pt x="26" y="0"/>
                    <a:pt x="31" y="2"/>
                    <a:pt x="35" y="6"/>
                  </a:cubicBezTo>
                  <a:cubicBezTo>
                    <a:pt x="38" y="10"/>
                    <a:pt x="41" y="15"/>
                    <a:pt x="41" y="21"/>
                  </a:cubicBezTo>
                  <a:cubicBezTo>
                    <a:pt x="41" y="26"/>
                    <a:pt x="38" y="31"/>
                    <a:pt x="35" y="35"/>
                  </a:cubicBezTo>
                  <a:cubicBezTo>
                    <a:pt x="31" y="39"/>
                    <a:pt x="26" y="41"/>
                    <a:pt x="20" y="41"/>
                  </a:cubicBezTo>
                  <a:cubicBezTo>
                    <a:pt x="15" y="41"/>
                    <a:pt x="9" y="39"/>
                    <a:pt x="6" y="35"/>
                  </a:cubicBezTo>
                  <a:cubicBezTo>
                    <a:pt x="2" y="31"/>
                    <a:pt x="0" y="26"/>
                    <a:pt x="0" y="21"/>
                  </a:cubicBezTo>
                  <a:cubicBezTo>
                    <a:pt x="0" y="15"/>
                    <a:pt x="2" y="10"/>
                    <a:pt x="6" y="6"/>
                  </a:cubicBezTo>
                  <a:close/>
                  <a:moveTo>
                    <a:pt x="32" y="9"/>
                  </a:moveTo>
                  <a:cubicBezTo>
                    <a:pt x="31" y="7"/>
                    <a:pt x="29" y="6"/>
                    <a:pt x="27" y="5"/>
                  </a:cubicBezTo>
                  <a:cubicBezTo>
                    <a:pt x="25" y="4"/>
                    <a:pt x="22" y="4"/>
                    <a:pt x="20" y="4"/>
                  </a:cubicBezTo>
                  <a:cubicBezTo>
                    <a:pt x="18" y="4"/>
                    <a:pt x="16" y="4"/>
                    <a:pt x="14" y="5"/>
                  </a:cubicBezTo>
                  <a:cubicBezTo>
                    <a:pt x="12" y="6"/>
                    <a:pt x="10" y="7"/>
                    <a:pt x="8" y="9"/>
                  </a:cubicBezTo>
                  <a:cubicBezTo>
                    <a:pt x="7" y="10"/>
                    <a:pt x="6" y="12"/>
                    <a:pt x="5" y="14"/>
                  </a:cubicBezTo>
                  <a:cubicBezTo>
                    <a:pt x="4" y="16"/>
                    <a:pt x="3" y="18"/>
                    <a:pt x="3" y="21"/>
                  </a:cubicBezTo>
                  <a:cubicBezTo>
                    <a:pt x="3" y="23"/>
                    <a:pt x="4" y="25"/>
                    <a:pt x="5" y="27"/>
                  </a:cubicBezTo>
                  <a:cubicBezTo>
                    <a:pt x="6" y="29"/>
                    <a:pt x="7" y="31"/>
                    <a:pt x="8" y="32"/>
                  </a:cubicBezTo>
                  <a:cubicBezTo>
                    <a:pt x="10" y="34"/>
                    <a:pt x="12" y="35"/>
                    <a:pt x="14" y="36"/>
                  </a:cubicBezTo>
                  <a:cubicBezTo>
                    <a:pt x="16" y="37"/>
                    <a:pt x="18" y="37"/>
                    <a:pt x="20" y="37"/>
                  </a:cubicBezTo>
                  <a:cubicBezTo>
                    <a:pt x="22" y="37"/>
                    <a:pt x="25" y="37"/>
                    <a:pt x="27" y="36"/>
                  </a:cubicBezTo>
                  <a:cubicBezTo>
                    <a:pt x="29" y="35"/>
                    <a:pt x="31" y="34"/>
                    <a:pt x="32" y="32"/>
                  </a:cubicBezTo>
                  <a:cubicBezTo>
                    <a:pt x="34" y="31"/>
                    <a:pt x="35" y="29"/>
                    <a:pt x="36" y="27"/>
                  </a:cubicBezTo>
                  <a:cubicBezTo>
                    <a:pt x="37" y="25"/>
                    <a:pt x="37" y="23"/>
                    <a:pt x="37" y="21"/>
                  </a:cubicBezTo>
                  <a:cubicBezTo>
                    <a:pt x="37" y="18"/>
                    <a:pt x="37" y="16"/>
                    <a:pt x="36" y="14"/>
                  </a:cubicBezTo>
                  <a:cubicBezTo>
                    <a:pt x="35" y="12"/>
                    <a:pt x="34" y="10"/>
                    <a:pt x="32" y="9"/>
                  </a:cubicBezTo>
                  <a:close/>
                </a:path>
              </a:pathLst>
            </a:custGeom>
            <a:solidFill>
              <a:srgbClr val="2C3E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39" name="Freeform 1745"/>
            <xdr:cNvSpPr/>
          </xdr:nvSpPr>
          <xdr:spPr>
            <a:xfrm>
              <a:off x="8439944" y="3770312"/>
              <a:ext cx="153988" cy="187325"/>
            </a:xfrm>
            <a:custGeom>
              <a:avLst/>
              <a:gdLst>
                <a:gd name="T0" fmla="*/ 34 w 97"/>
                <a:gd name="T1" fmla="*/ 69 h 118"/>
                <a:gd name="T2" fmla="*/ 34 w 97"/>
                <a:gd name="T3" fmla="*/ 64 h 118"/>
                <a:gd name="T4" fmla="*/ 39 w 97"/>
                <a:gd name="T5" fmla="*/ 54 h 118"/>
                <a:gd name="T6" fmla="*/ 0 w 97"/>
                <a:gd name="T7" fmla="*/ 25 h 118"/>
                <a:gd name="T8" fmla="*/ 4 w 97"/>
                <a:gd name="T9" fmla="*/ 15 h 118"/>
                <a:gd name="T10" fmla="*/ 49 w 97"/>
                <a:gd name="T11" fmla="*/ 44 h 118"/>
                <a:gd name="T12" fmla="*/ 49 w 97"/>
                <a:gd name="T13" fmla="*/ 39 h 118"/>
                <a:gd name="T14" fmla="*/ 53 w 97"/>
                <a:gd name="T15" fmla="*/ 39 h 118"/>
                <a:gd name="T16" fmla="*/ 53 w 97"/>
                <a:gd name="T17" fmla="*/ 44 h 118"/>
                <a:gd name="T18" fmla="*/ 93 w 97"/>
                <a:gd name="T19" fmla="*/ 0 h 118"/>
                <a:gd name="T20" fmla="*/ 97 w 97"/>
                <a:gd name="T21" fmla="*/ 5 h 118"/>
                <a:gd name="T22" fmla="*/ 88 w 97"/>
                <a:gd name="T23" fmla="*/ 20 h 118"/>
                <a:gd name="T24" fmla="*/ 53 w 97"/>
                <a:gd name="T25" fmla="*/ 49 h 118"/>
                <a:gd name="T26" fmla="*/ 58 w 97"/>
                <a:gd name="T27" fmla="*/ 54 h 118"/>
                <a:gd name="T28" fmla="*/ 53 w 97"/>
                <a:gd name="T29" fmla="*/ 64 h 118"/>
                <a:gd name="T30" fmla="*/ 44 w 97"/>
                <a:gd name="T31" fmla="*/ 59 h 118"/>
                <a:gd name="T32" fmla="*/ 24 w 97"/>
                <a:gd name="T33" fmla="*/ 118 h 118"/>
                <a:gd name="T34" fmla="*/ 24 w 97"/>
                <a:gd name="T35" fmla="*/ 118 h 118"/>
                <a:gd name="T36" fmla="*/ 39 w 97"/>
                <a:gd name="T37" fmla="*/ 64 h 118"/>
                <a:gd name="T38" fmla="*/ 34 w 97"/>
                <a:gd name="T39" fmla="*/ 69 h 11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</a:cxnLst>
              <a:rect l="0" t="0" r="r" b="b"/>
              <a:pathLst>
                <a:path w="97" h="118">
                  <a:moveTo>
                    <a:pt x="34" y="69"/>
                  </a:moveTo>
                  <a:lnTo>
                    <a:pt x="34" y="64"/>
                  </a:lnTo>
                  <a:lnTo>
                    <a:pt x="39" y="54"/>
                  </a:lnTo>
                  <a:lnTo>
                    <a:pt x="0" y="25"/>
                  </a:lnTo>
                  <a:lnTo>
                    <a:pt x="4" y="15"/>
                  </a:lnTo>
                  <a:lnTo>
                    <a:pt x="49" y="44"/>
                  </a:lnTo>
                  <a:lnTo>
                    <a:pt x="49" y="39"/>
                  </a:lnTo>
                  <a:lnTo>
                    <a:pt x="53" y="39"/>
                  </a:lnTo>
                  <a:lnTo>
                    <a:pt x="53" y="44"/>
                  </a:lnTo>
                  <a:lnTo>
                    <a:pt x="93" y="0"/>
                  </a:lnTo>
                  <a:lnTo>
                    <a:pt x="97" y="5"/>
                  </a:lnTo>
                  <a:lnTo>
                    <a:pt x="88" y="20"/>
                  </a:lnTo>
                  <a:lnTo>
                    <a:pt x="53" y="49"/>
                  </a:lnTo>
                  <a:lnTo>
                    <a:pt x="58" y="54"/>
                  </a:lnTo>
                  <a:lnTo>
                    <a:pt x="53" y="64"/>
                  </a:lnTo>
                  <a:lnTo>
                    <a:pt x="44" y="59"/>
                  </a:lnTo>
                  <a:lnTo>
                    <a:pt x="24" y="118"/>
                  </a:lnTo>
                  <a:lnTo>
                    <a:pt x="24" y="118"/>
                  </a:lnTo>
                  <a:lnTo>
                    <a:pt x="39" y="64"/>
                  </a:lnTo>
                  <a:lnTo>
                    <a:pt x="34" y="69"/>
                  </a:lnTo>
                  <a:close/>
                </a:path>
              </a:pathLst>
            </a:custGeom>
            <a:solidFill>
              <a:srgbClr val="D9DA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40" name="Freeform 1746"/>
            <xdr:cNvSpPr/>
          </xdr:nvSpPr>
          <xdr:spPr>
            <a:xfrm>
              <a:off x="8439944" y="3786187"/>
              <a:ext cx="92075" cy="77788"/>
            </a:xfrm>
            <a:custGeom>
              <a:avLst/>
              <a:gdLst>
                <a:gd name="T0" fmla="*/ 58 w 58"/>
                <a:gd name="T1" fmla="*/ 39 h 49"/>
                <a:gd name="T2" fmla="*/ 49 w 58"/>
                <a:gd name="T3" fmla="*/ 49 h 49"/>
                <a:gd name="T4" fmla="*/ 0 w 58"/>
                <a:gd name="T5" fmla="*/ 10 h 49"/>
                <a:gd name="T6" fmla="*/ 4 w 58"/>
                <a:gd name="T7" fmla="*/ 0 h 49"/>
                <a:gd name="T8" fmla="*/ 58 w 58"/>
                <a:gd name="T9" fmla="*/ 39 h 4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8" h="49">
                  <a:moveTo>
                    <a:pt x="58" y="39"/>
                  </a:moveTo>
                  <a:lnTo>
                    <a:pt x="49" y="49"/>
                  </a:lnTo>
                  <a:lnTo>
                    <a:pt x="0" y="10"/>
                  </a:lnTo>
                  <a:lnTo>
                    <a:pt x="4" y="0"/>
                  </a:lnTo>
                  <a:lnTo>
                    <a:pt x="58" y="39"/>
                  </a:lnTo>
                  <a:close/>
                </a:path>
              </a:pathLst>
            </a:custGeom>
            <a:solidFill>
              <a:srgbClr val="2C3E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41" name="Freeform 1747"/>
            <xdr:cNvSpPr/>
          </xdr:nvSpPr>
          <xdr:spPr>
            <a:xfrm>
              <a:off x="8485981" y="3762375"/>
              <a:ext cx="101600" cy="109538"/>
            </a:xfrm>
            <a:custGeom>
              <a:avLst/>
              <a:gdLst>
                <a:gd name="T0" fmla="*/ 5 w 64"/>
                <a:gd name="T1" fmla="*/ 69 h 69"/>
                <a:gd name="T2" fmla="*/ 0 w 64"/>
                <a:gd name="T3" fmla="*/ 64 h 69"/>
                <a:gd name="T4" fmla="*/ 59 w 64"/>
                <a:gd name="T5" fmla="*/ 0 h 69"/>
                <a:gd name="T6" fmla="*/ 64 w 64"/>
                <a:gd name="T7" fmla="*/ 5 h 69"/>
                <a:gd name="T8" fmla="*/ 54 w 64"/>
                <a:gd name="T9" fmla="*/ 20 h 69"/>
                <a:gd name="T10" fmla="*/ 5 w 64"/>
                <a:gd name="T11" fmla="*/ 69 h 6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4" h="69">
                  <a:moveTo>
                    <a:pt x="5" y="69"/>
                  </a:moveTo>
                  <a:lnTo>
                    <a:pt x="0" y="64"/>
                  </a:lnTo>
                  <a:lnTo>
                    <a:pt x="59" y="0"/>
                  </a:lnTo>
                  <a:lnTo>
                    <a:pt x="64" y="5"/>
                  </a:lnTo>
                  <a:lnTo>
                    <a:pt x="54" y="20"/>
                  </a:lnTo>
                  <a:lnTo>
                    <a:pt x="5" y="69"/>
                  </a:lnTo>
                  <a:close/>
                </a:path>
              </a:pathLst>
            </a:custGeom>
            <a:solidFill>
              <a:srgbClr val="2C3E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42" name="Freeform 1748"/>
            <xdr:cNvSpPr/>
          </xdr:nvSpPr>
          <xdr:spPr>
            <a:xfrm>
              <a:off x="8470106" y="3825875"/>
              <a:ext cx="53975" cy="123825"/>
            </a:xfrm>
            <a:custGeom>
              <a:avLst/>
              <a:gdLst>
                <a:gd name="T0" fmla="*/ 0 w 34"/>
                <a:gd name="T1" fmla="*/ 78 h 78"/>
                <a:gd name="T2" fmla="*/ 5 w 34"/>
                <a:gd name="T3" fmla="*/ 78 h 78"/>
                <a:gd name="T4" fmla="*/ 34 w 34"/>
                <a:gd name="T5" fmla="*/ 0 h 78"/>
                <a:gd name="T6" fmla="*/ 30 w 34"/>
                <a:gd name="T7" fmla="*/ 0 h 78"/>
                <a:gd name="T8" fmla="*/ 0 w 34"/>
                <a:gd name="T9" fmla="*/ 78 h 7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4" h="78">
                  <a:moveTo>
                    <a:pt x="0" y="78"/>
                  </a:moveTo>
                  <a:lnTo>
                    <a:pt x="5" y="78"/>
                  </a:lnTo>
                  <a:lnTo>
                    <a:pt x="34" y="0"/>
                  </a:lnTo>
                  <a:lnTo>
                    <a:pt x="30" y="0"/>
                  </a:lnTo>
                  <a:lnTo>
                    <a:pt x="0" y="78"/>
                  </a:lnTo>
                  <a:close/>
                </a:path>
              </a:pathLst>
            </a:custGeom>
            <a:solidFill>
              <a:srgbClr val="C43E3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43" name="Oval 1749"/>
            <xdr:cNvSpPr>
              <a:spLocks noChangeArrowheads="1"/>
            </xdr:cNvSpPr>
          </xdr:nvSpPr>
          <xdr:spPr>
            <a:xfrm>
              <a:off x="8517731" y="3817937"/>
              <a:ext cx="193675" cy="193675"/>
            </a:xfrm>
            <a:prstGeom prst="ellipse">
              <a:avLst/>
            </a:prstGeom>
            <a:solidFill>
              <a:srgbClr val="86B42D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44" name="Freeform 1750"/>
            <xdr:cNvSpPr>
              <a:spLocks noEditPoints="1"/>
            </xdr:cNvSpPr>
          </xdr:nvSpPr>
          <xdr:spPr>
            <a:xfrm>
              <a:off x="8617744" y="3871912"/>
              <a:ext cx="69850" cy="85725"/>
            </a:xfrm>
            <a:custGeom>
              <a:avLst/>
              <a:gdLst>
                <a:gd name="T0" fmla="*/ 39 w 44"/>
                <a:gd name="T1" fmla="*/ 0 h 54"/>
                <a:gd name="T2" fmla="*/ 39 w 44"/>
                <a:gd name="T3" fmla="*/ 34 h 54"/>
                <a:gd name="T4" fmla="*/ 44 w 44"/>
                <a:gd name="T5" fmla="*/ 34 h 54"/>
                <a:gd name="T6" fmla="*/ 44 w 44"/>
                <a:gd name="T7" fmla="*/ 44 h 54"/>
                <a:gd name="T8" fmla="*/ 39 w 44"/>
                <a:gd name="T9" fmla="*/ 44 h 54"/>
                <a:gd name="T10" fmla="*/ 39 w 44"/>
                <a:gd name="T11" fmla="*/ 54 h 54"/>
                <a:gd name="T12" fmla="*/ 30 w 44"/>
                <a:gd name="T13" fmla="*/ 54 h 54"/>
                <a:gd name="T14" fmla="*/ 30 w 44"/>
                <a:gd name="T15" fmla="*/ 44 h 54"/>
                <a:gd name="T16" fmla="*/ 0 w 44"/>
                <a:gd name="T17" fmla="*/ 44 h 54"/>
                <a:gd name="T18" fmla="*/ 0 w 44"/>
                <a:gd name="T19" fmla="*/ 29 h 54"/>
                <a:gd name="T20" fmla="*/ 25 w 44"/>
                <a:gd name="T21" fmla="*/ 0 h 54"/>
                <a:gd name="T22" fmla="*/ 39 w 44"/>
                <a:gd name="T23" fmla="*/ 0 h 54"/>
                <a:gd name="T24" fmla="*/ 39 w 44"/>
                <a:gd name="T25" fmla="*/ 0 h 54"/>
                <a:gd name="T26" fmla="*/ 30 w 44"/>
                <a:gd name="T27" fmla="*/ 34 h 54"/>
                <a:gd name="T28" fmla="*/ 30 w 44"/>
                <a:gd name="T29" fmla="*/ 10 h 54"/>
                <a:gd name="T30" fmla="*/ 30 w 44"/>
                <a:gd name="T31" fmla="*/ 10 h 54"/>
                <a:gd name="T32" fmla="*/ 10 w 44"/>
                <a:gd name="T33" fmla="*/ 34 h 54"/>
                <a:gd name="T34" fmla="*/ 30 w 44"/>
                <a:gd name="T35" fmla="*/ 34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44" h="54">
                  <a:moveTo>
                    <a:pt x="39" y="0"/>
                  </a:moveTo>
                  <a:lnTo>
                    <a:pt x="39" y="34"/>
                  </a:lnTo>
                  <a:lnTo>
                    <a:pt x="44" y="34"/>
                  </a:lnTo>
                  <a:lnTo>
                    <a:pt x="44" y="44"/>
                  </a:lnTo>
                  <a:lnTo>
                    <a:pt x="39" y="44"/>
                  </a:lnTo>
                  <a:lnTo>
                    <a:pt x="39" y="54"/>
                  </a:lnTo>
                  <a:lnTo>
                    <a:pt x="30" y="54"/>
                  </a:lnTo>
                  <a:lnTo>
                    <a:pt x="30" y="44"/>
                  </a:lnTo>
                  <a:lnTo>
                    <a:pt x="0" y="44"/>
                  </a:lnTo>
                  <a:lnTo>
                    <a:pt x="0" y="29"/>
                  </a:lnTo>
                  <a:lnTo>
                    <a:pt x="25" y="0"/>
                  </a:lnTo>
                  <a:lnTo>
                    <a:pt x="39" y="0"/>
                  </a:lnTo>
                  <a:lnTo>
                    <a:pt x="39" y="0"/>
                  </a:lnTo>
                  <a:close/>
                  <a:moveTo>
                    <a:pt x="30" y="34"/>
                  </a:moveTo>
                  <a:lnTo>
                    <a:pt x="30" y="10"/>
                  </a:lnTo>
                  <a:lnTo>
                    <a:pt x="30" y="10"/>
                  </a:lnTo>
                  <a:lnTo>
                    <a:pt x="10" y="34"/>
                  </a:lnTo>
                  <a:lnTo>
                    <a:pt x="30" y="34"/>
                  </a:lnTo>
                  <a:close/>
                </a:path>
              </a:pathLst>
            </a:custGeom>
            <a:solidFill>
              <a:srgbClr val="ECF0F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45" name="Freeform 1751"/>
            <xdr:cNvSpPr/>
          </xdr:nvSpPr>
          <xdr:spPr>
            <a:xfrm>
              <a:off x="8547894" y="3871912"/>
              <a:ext cx="61913" cy="85725"/>
            </a:xfrm>
            <a:custGeom>
              <a:avLst/>
              <a:gdLst>
                <a:gd name="T0" fmla="*/ 8 w 8"/>
                <a:gd name="T1" fmla="*/ 9 h 11"/>
                <a:gd name="T2" fmla="*/ 8 w 8"/>
                <a:gd name="T3" fmla="*/ 11 h 11"/>
                <a:gd name="T4" fmla="*/ 0 w 8"/>
                <a:gd name="T5" fmla="*/ 11 h 11"/>
                <a:gd name="T6" fmla="*/ 0 w 8"/>
                <a:gd name="T7" fmla="*/ 9 h 11"/>
                <a:gd name="T8" fmla="*/ 0 w 8"/>
                <a:gd name="T9" fmla="*/ 7 h 11"/>
                <a:gd name="T10" fmla="*/ 3 w 8"/>
                <a:gd name="T11" fmla="*/ 6 h 11"/>
                <a:gd name="T12" fmla="*/ 5 w 8"/>
                <a:gd name="T13" fmla="*/ 5 h 11"/>
                <a:gd name="T14" fmla="*/ 6 w 8"/>
                <a:gd name="T15" fmla="*/ 4 h 11"/>
                <a:gd name="T16" fmla="*/ 5 w 8"/>
                <a:gd name="T17" fmla="*/ 2 h 11"/>
                <a:gd name="T18" fmla="*/ 4 w 8"/>
                <a:gd name="T19" fmla="*/ 2 h 11"/>
                <a:gd name="T20" fmla="*/ 2 w 8"/>
                <a:gd name="T21" fmla="*/ 2 h 11"/>
                <a:gd name="T22" fmla="*/ 2 w 8"/>
                <a:gd name="T23" fmla="*/ 4 h 11"/>
                <a:gd name="T24" fmla="*/ 2 w 8"/>
                <a:gd name="T25" fmla="*/ 4 h 11"/>
                <a:gd name="T26" fmla="*/ 0 w 8"/>
                <a:gd name="T27" fmla="*/ 4 h 11"/>
                <a:gd name="T28" fmla="*/ 0 w 8"/>
                <a:gd name="T29" fmla="*/ 4 h 11"/>
                <a:gd name="T30" fmla="*/ 0 w 8"/>
                <a:gd name="T31" fmla="*/ 1 h 11"/>
                <a:gd name="T32" fmla="*/ 4 w 8"/>
                <a:gd name="T33" fmla="*/ 0 h 11"/>
                <a:gd name="T34" fmla="*/ 7 w 8"/>
                <a:gd name="T35" fmla="*/ 1 h 11"/>
                <a:gd name="T36" fmla="*/ 8 w 8"/>
                <a:gd name="T37" fmla="*/ 4 h 11"/>
                <a:gd name="T38" fmla="*/ 7 w 8"/>
                <a:gd name="T39" fmla="*/ 6 h 11"/>
                <a:gd name="T40" fmla="*/ 4 w 8"/>
                <a:gd name="T41" fmla="*/ 7 h 11"/>
                <a:gd name="T42" fmla="*/ 2 w 8"/>
                <a:gd name="T43" fmla="*/ 8 h 11"/>
                <a:gd name="T44" fmla="*/ 2 w 8"/>
                <a:gd name="T45" fmla="*/ 9 h 11"/>
                <a:gd name="T46" fmla="*/ 2 w 8"/>
                <a:gd name="T47" fmla="*/ 9 h 11"/>
                <a:gd name="T48" fmla="*/ 8 w 8"/>
                <a:gd name="T49" fmla="*/ 9 h 1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</a:cxnLst>
              <a:rect l="0" t="0" r="r" b="b"/>
              <a:pathLst>
                <a:path w="8" h="11">
                  <a:moveTo>
                    <a:pt x="8" y="9"/>
                  </a:moveTo>
                  <a:cubicBezTo>
                    <a:pt x="8" y="11"/>
                    <a:pt x="8" y="11"/>
                    <a:pt x="8" y="11"/>
                  </a:cubicBezTo>
                  <a:cubicBezTo>
                    <a:pt x="0" y="11"/>
                    <a:pt x="0" y="11"/>
                    <a:pt x="0" y="11"/>
                  </a:cubicBezTo>
                  <a:cubicBezTo>
                    <a:pt x="0" y="9"/>
                    <a:pt x="0" y="9"/>
                    <a:pt x="0" y="9"/>
                  </a:cubicBezTo>
                  <a:cubicBezTo>
                    <a:pt x="0" y="8"/>
                    <a:pt x="0" y="7"/>
                    <a:pt x="0" y="7"/>
                  </a:cubicBezTo>
                  <a:cubicBezTo>
                    <a:pt x="1" y="6"/>
                    <a:pt x="2" y="6"/>
                    <a:pt x="3" y="6"/>
                  </a:cubicBezTo>
                  <a:cubicBezTo>
                    <a:pt x="4" y="5"/>
                    <a:pt x="5" y="5"/>
                    <a:pt x="5" y="5"/>
                  </a:cubicBezTo>
                  <a:cubicBezTo>
                    <a:pt x="5" y="5"/>
                    <a:pt x="6" y="4"/>
                    <a:pt x="6" y="4"/>
                  </a:cubicBezTo>
                  <a:cubicBezTo>
                    <a:pt x="6" y="3"/>
                    <a:pt x="5" y="2"/>
                    <a:pt x="5" y="2"/>
                  </a:cubicBezTo>
                  <a:cubicBezTo>
                    <a:pt x="5" y="2"/>
                    <a:pt x="4" y="2"/>
                    <a:pt x="4" y="2"/>
                  </a:cubicBezTo>
                  <a:cubicBezTo>
                    <a:pt x="3" y="2"/>
                    <a:pt x="2" y="2"/>
                    <a:pt x="2" y="2"/>
                  </a:cubicBezTo>
                  <a:cubicBezTo>
                    <a:pt x="2" y="2"/>
                    <a:pt x="2" y="3"/>
                    <a:pt x="2" y="4"/>
                  </a:cubicBezTo>
                  <a:cubicBezTo>
                    <a:pt x="2" y="4"/>
                    <a:pt x="2" y="4"/>
                    <a:pt x="2" y="4"/>
                  </a:cubicBezTo>
                  <a:cubicBezTo>
                    <a:pt x="0" y="4"/>
                    <a:pt x="0" y="4"/>
                    <a:pt x="0" y="4"/>
                  </a:cubicBezTo>
                  <a:cubicBezTo>
                    <a:pt x="0" y="4"/>
                    <a:pt x="0" y="4"/>
                    <a:pt x="0" y="4"/>
                  </a:cubicBezTo>
                  <a:cubicBezTo>
                    <a:pt x="0" y="2"/>
                    <a:pt x="0" y="1"/>
                    <a:pt x="0" y="1"/>
                  </a:cubicBezTo>
                  <a:cubicBezTo>
                    <a:pt x="1" y="1"/>
                    <a:pt x="2" y="0"/>
                    <a:pt x="4" y="0"/>
                  </a:cubicBezTo>
                  <a:cubicBezTo>
                    <a:pt x="5" y="0"/>
                    <a:pt x="6" y="1"/>
                    <a:pt x="7" y="1"/>
                  </a:cubicBezTo>
                  <a:cubicBezTo>
                    <a:pt x="7" y="1"/>
                    <a:pt x="8" y="2"/>
                    <a:pt x="8" y="4"/>
                  </a:cubicBezTo>
                  <a:cubicBezTo>
                    <a:pt x="8" y="5"/>
                    <a:pt x="7" y="6"/>
                    <a:pt x="7" y="6"/>
                  </a:cubicBezTo>
                  <a:cubicBezTo>
                    <a:pt x="7" y="7"/>
                    <a:pt x="6" y="7"/>
                    <a:pt x="4" y="7"/>
                  </a:cubicBezTo>
                  <a:cubicBezTo>
                    <a:pt x="3" y="7"/>
                    <a:pt x="2" y="8"/>
                    <a:pt x="2" y="8"/>
                  </a:cubicBezTo>
                  <a:cubicBezTo>
                    <a:pt x="2" y="8"/>
                    <a:pt x="2" y="8"/>
                    <a:pt x="2" y="9"/>
                  </a:cubicBezTo>
                  <a:cubicBezTo>
                    <a:pt x="2" y="9"/>
                    <a:pt x="2" y="9"/>
                    <a:pt x="2" y="9"/>
                  </a:cubicBezTo>
                  <a:lnTo>
                    <a:pt x="8" y="9"/>
                  </a:lnTo>
                  <a:close/>
                </a:path>
              </a:pathLst>
            </a:custGeom>
            <a:solidFill>
              <a:srgbClr val="ECF0F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</xdr:grpSp>
      <xdr:sp>
        <xdr:nvSpPr>
          <xdr:cNvPr id="78" name="TextBox 77"/>
          <xdr:cNvSpPr txBox="1"/>
        </xdr:nvSpPr>
        <xdr:spPr>
          <a:xfrm>
            <a:off x="4200912" y="2686050"/>
            <a:ext cx="1019175" cy="3333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zh-CN" altLang="en-US" sz="1100" b="1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每日工作计划</a:t>
            </a:r>
            <a:endParaRPr lang="zh-CN" altLang="en-US" sz="1100" b="1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  <xdr:twoCellAnchor>
    <xdr:from>
      <xdr:col>7</xdr:col>
      <xdr:colOff>552449</xdr:colOff>
      <xdr:row>7</xdr:row>
      <xdr:rowOff>38100</xdr:rowOff>
    </xdr:from>
    <xdr:to>
      <xdr:col>9</xdr:col>
      <xdr:colOff>152849</xdr:colOff>
      <xdr:row>14</xdr:row>
      <xdr:rowOff>85725</xdr:rowOff>
    </xdr:to>
    <xdr:grpSp>
      <xdr:nvGrpSpPr>
        <xdr:cNvPr id="82" name="组合 81"/>
        <xdr:cNvGrpSpPr/>
      </xdr:nvGrpSpPr>
      <xdr:grpSpPr>
        <a:xfrm>
          <a:off x="6247765" y="1524000"/>
          <a:ext cx="972185" cy="1514475"/>
          <a:chOff x="6248399" y="1504950"/>
          <a:chExt cx="972000" cy="1514475"/>
        </a:xfrm>
      </xdr:grpSpPr>
      <xdr:grpSp>
        <xdr:nvGrpSpPr>
          <xdr:cNvPr id="64" name="组合 63"/>
          <xdr:cNvGrpSpPr/>
        </xdr:nvGrpSpPr>
        <xdr:grpSpPr>
          <a:xfrm>
            <a:off x="6248399" y="1504950"/>
            <a:ext cx="972000" cy="1080000"/>
            <a:chOff x="9838725" y="1999773"/>
            <a:chExt cx="616832" cy="616832"/>
          </a:xfrm>
        </xdr:grpSpPr>
        <xdr:sp macro="[0]!圆角矩形11_Click">
          <xdr:nvSpPr>
            <xdr:cNvPr id="65" name="Freeform 192"/>
            <xdr:cNvSpPr/>
          </xdr:nvSpPr>
          <xdr:spPr>
            <a:xfrm>
              <a:off x="9838725" y="1999773"/>
              <a:ext cx="616832" cy="616832"/>
            </a:xfrm>
            <a:custGeom>
              <a:avLst/>
              <a:gdLst>
                <a:gd name="T0" fmla="*/ 104 w 128"/>
                <a:gd name="T1" fmla="*/ 0 h 128"/>
                <a:gd name="T2" fmla="*/ 100 w 128"/>
                <a:gd name="T3" fmla="*/ 0 h 128"/>
                <a:gd name="T4" fmla="*/ 100 w 128"/>
                <a:gd name="T5" fmla="*/ 4 h 128"/>
                <a:gd name="T6" fmla="*/ 12 w 128"/>
                <a:gd name="T7" fmla="*/ 4 h 128"/>
                <a:gd name="T8" fmla="*/ 12 w 128"/>
                <a:gd name="T9" fmla="*/ 0 h 128"/>
                <a:gd name="T10" fmla="*/ 8 w 128"/>
                <a:gd name="T11" fmla="*/ 0 h 128"/>
                <a:gd name="T12" fmla="*/ 0 w 128"/>
                <a:gd name="T13" fmla="*/ 8 h 128"/>
                <a:gd name="T14" fmla="*/ 0 w 128"/>
                <a:gd name="T15" fmla="*/ 120 h 128"/>
                <a:gd name="T16" fmla="*/ 8 w 128"/>
                <a:gd name="T17" fmla="*/ 128 h 128"/>
                <a:gd name="T18" fmla="*/ 120 w 128"/>
                <a:gd name="T19" fmla="*/ 128 h 128"/>
                <a:gd name="T20" fmla="*/ 128 w 128"/>
                <a:gd name="T21" fmla="*/ 120 h 128"/>
                <a:gd name="T22" fmla="*/ 128 w 128"/>
                <a:gd name="T23" fmla="*/ 24 h 128"/>
                <a:gd name="T24" fmla="*/ 104 w 128"/>
                <a:gd name="T25" fmla="*/ 0 h 12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</a:cxnLst>
              <a:rect l="0" t="0" r="r" b="b"/>
              <a:pathLst>
                <a:path w="128" h="128">
                  <a:moveTo>
                    <a:pt x="104" y="0"/>
                  </a:moveTo>
                  <a:cubicBezTo>
                    <a:pt x="100" y="0"/>
                    <a:pt x="100" y="0"/>
                    <a:pt x="100" y="0"/>
                  </a:cubicBezTo>
                  <a:cubicBezTo>
                    <a:pt x="100" y="4"/>
                    <a:pt x="100" y="4"/>
                    <a:pt x="100" y="4"/>
                  </a:cubicBezTo>
                  <a:cubicBezTo>
                    <a:pt x="12" y="4"/>
                    <a:pt x="12" y="4"/>
                    <a:pt x="12" y="4"/>
                  </a:cubicBezTo>
                  <a:cubicBezTo>
                    <a:pt x="12" y="0"/>
                    <a:pt x="12" y="0"/>
                    <a:pt x="12" y="0"/>
                  </a:cubicBezTo>
                  <a:cubicBezTo>
                    <a:pt x="8" y="0"/>
                    <a:pt x="8" y="0"/>
                    <a:pt x="8" y="0"/>
                  </a:cubicBezTo>
                  <a:cubicBezTo>
                    <a:pt x="4" y="0"/>
                    <a:pt x="0" y="4"/>
                    <a:pt x="0" y="8"/>
                  </a:cubicBezTo>
                  <a:cubicBezTo>
                    <a:pt x="0" y="120"/>
                    <a:pt x="0" y="120"/>
                    <a:pt x="0" y="120"/>
                  </a:cubicBezTo>
                  <a:cubicBezTo>
                    <a:pt x="0" y="124"/>
                    <a:pt x="4" y="128"/>
                    <a:pt x="8" y="128"/>
                  </a:cubicBezTo>
                  <a:cubicBezTo>
                    <a:pt x="120" y="128"/>
                    <a:pt x="120" y="128"/>
                    <a:pt x="120" y="128"/>
                  </a:cubicBezTo>
                  <a:cubicBezTo>
                    <a:pt x="124" y="128"/>
                    <a:pt x="128" y="124"/>
                    <a:pt x="128" y="120"/>
                  </a:cubicBezTo>
                  <a:cubicBezTo>
                    <a:pt x="128" y="24"/>
                    <a:pt x="128" y="24"/>
                    <a:pt x="128" y="24"/>
                  </a:cubicBezTo>
                  <a:cubicBezTo>
                    <a:pt x="104" y="0"/>
                    <a:pt x="104" y="0"/>
                    <a:pt x="104" y="0"/>
                  </a:cubicBezTo>
                </a:path>
              </a:pathLst>
            </a:custGeom>
            <a:solidFill>
              <a:srgbClr val="34495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 macro="[0]!圆角矩形11_Click">
          <xdr:nvSpPr>
            <xdr:cNvPr id="66" name="Rectangle 193"/>
            <xdr:cNvSpPr>
              <a:spLocks noChangeArrowheads="1"/>
            </xdr:cNvSpPr>
          </xdr:nvSpPr>
          <xdr:spPr>
            <a:xfrm>
              <a:off x="9916083" y="2307171"/>
              <a:ext cx="462115" cy="309434"/>
            </a:xfrm>
            <a:prstGeom prst="rect">
              <a:avLst/>
            </a:prstGeom>
            <a:solidFill>
              <a:srgbClr val="EEEEE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 macro="[0]!圆角矩形11_Click">
          <xdr:nvSpPr>
            <xdr:cNvPr id="67" name="Rectangle 194"/>
            <xdr:cNvSpPr>
              <a:spLocks noChangeArrowheads="1"/>
            </xdr:cNvSpPr>
          </xdr:nvSpPr>
          <xdr:spPr>
            <a:xfrm>
              <a:off x="9916083" y="2307171"/>
              <a:ext cx="462115" cy="30943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 macro="[0]!圆角矩形11_Click">
          <xdr:nvSpPr>
            <xdr:cNvPr id="68" name="Rectangle 195"/>
            <xdr:cNvSpPr>
              <a:spLocks noChangeArrowheads="1"/>
            </xdr:cNvSpPr>
          </xdr:nvSpPr>
          <xdr:spPr>
            <a:xfrm>
              <a:off x="9993441" y="2384530"/>
              <a:ext cx="307398" cy="20357"/>
            </a:xfrm>
            <a:prstGeom prst="rect">
              <a:avLst/>
            </a:prstGeom>
            <a:solidFill>
              <a:srgbClr val="BEBEB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 macro="[0]!圆角矩形11_Click">
          <xdr:nvSpPr>
            <xdr:cNvPr id="69" name="Rectangle 196"/>
            <xdr:cNvSpPr>
              <a:spLocks noChangeArrowheads="1"/>
            </xdr:cNvSpPr>
          </xdr:nvSpPr>
          <xdr:spPr>
            <a:xfrm>
              <a:off x="9993441" y="2384530"/>
              <a:ext cx="307398" cy="20357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 macro="[0]!圆角矩形11_Click">
          <xdr:nvSpPr>
            <xdr:cNvPr id="70" name="Rectangle 197"/>
            <xdr:cNvSpPr>
              <a:spLocks noChangeArrowheads="1"/>
            </xdr:cNvSpPr>
          </xdr:nvSpPr>
          <xdr:spPr>
            <a:xfrm>
              <a:off x="9993441" y="2443567"/>
              <a:ext cx="307398" cy="18322"/>
            </a:xfrm>
            <a:prstGeom prst="rect">
              <a:avLst/>
            </a:prstGeom>
            <a:solidFill>
              <a:srgbClr val="BEBEB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 macro="[0]!圆角矩形11_Click">
          <xdr:nvSpPr>
            <xdr:cNvPr id="71" name="Rectangle 198"/>
            <xdr:cNvSpPr>
              <a:spLocks noChangeArrowheads="1"/>
            </xdr:cNvSpPr>
          </xdr:nvSpPr>
          <xdr:spPr>
            <a:xfrm>
              <a:off x="9993441" y="2443567"/>
              <a:ext cx="307398" cy="18322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 macro="[0]!圆角矩形11_Click">
          <xdr:nvSpPr>
            <xdr:cNvPr id="72" name="Rectangle 199"/>
            <xdr:cNvSpPr>
              <a:spLocks noChangeArrowheads="1"/>
            </xdr:cNvSpPr>
          </xdr:nvSpPr>
          <xdr:spPr>
            <a:xfrm>
              <a:off x="9993441" y="2500568"/>
              <a:ext cx="307398" cy="18322"/>
            </a:xfrm>
            <a:prstGeom prst="rect">
              <a:avLst/>
            </a:prstGeom>
            <a:solidFill>
              <a:srgbClr val="BEBEB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 macro="[0]!圆角矩形11_Click">
          <xdr:nvSpPr>
            <xdr:cNvPr id="73" name="Rectangle 200"/>
            <xdr:cNvSpPr>
              <a:spLocks noChangeArrowheads="1"/>
            </xdr:cNvSpPr>
          </xdr:nvSpPr>
          <xdr:spPr>
            <a:xfrm>
              <a:off x="9993441" y="2500568"/>
              <a:ext cx="307398" cy="18322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 macro="[0]!圆角矩形11_Click">
          <xdr:nvSpPr>
            <xdr:cNvPr id="74" name="Freeform 201"/>
            <xdr:cNvSpPr/>
          </xdr:nvSpPr>
          <xdr:spPr>
            <a:xfrm>
              <a:off x="9897761" y="2018095"/>
              <a:ext cx="423436" cy="154717"/>
            </a:xfrm>
            <a:custGeom>
              <a:avLst/>
              <a:gdLst>
                <a:gd name="T0" fmla="*/ 208 w 208"/>
                <a:gd name="T1" fmla="*/ 0 h 76"/>
                <a:gd name="T2" fmla="*/ 208 w 208"/>
                <a:gd name="T3" fmla="*/ 0 h 76"/>
                <a:gd name="T4" fmla="*/ 0 w 208"/>
                <a:gd name="T5" fmla="*/ 0 h 76"/>
                <a:gd name="T6" fmla="*/ 0 w 208"/>
                <a:gd name="T7" fmla="*/ 76 h 76"/>
                <a:gd name="T8" fmla="*/ 208 w 208"/>
                <a:gd name="T9" fmla="*/ 76 h 76"/>
                <a:gd name="T10" fmla="*/ 208 w 208"/>
                <a:gd name="T11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08" h="76">
                  <a:moveTo>
                    <a:pt x="208" y="0"/>
                  </a:moveTo>
                  <a:lnTo>
                    <a:pt x="208" y="0"/>
                  </a:lnTo>
                  <a:lnTo>
                    <a:pt x="0" y="0"/>
                  </a:lnTo>
                  <a:lnTo>
                    <a:pt x="0" y="76"/>
                  </a:lnTo>
                  <a:lnTo>
                    <a:pt x="208" y="76"/>
                  </a:lnTo>
                  <a:lnTo>
                    <a:pt x="208" y="0"/>
                  </a:lnTo>
                  <a:close/>
                </a:path>
              </a:pathLst>
            </a:custGeom>
            <a:solidFill>
              <a:srgbClr val="24334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 macro="[0]!圆角矩形11_Click">
          <xdr:nvSpPr>
            <xdr:cNvPr id="75" name="Freeform 202"/>
            <xdr:cNvSpPr/>
          </xdr:nvSpPr>
          <xdr:spPr>
            <a:xfrm>
              <a:off x="9897761" y="2018095"/>
              <a:ext cx="423436" cy="154717"/>
            </a:xfrm>
            <a:custGeom>
              <a:avLst/>
              <a:gdLst>
                <a:gd name="T0" fmla="*/ 208 w 208"/>
                <a:gd name="T1" fmla="*/ 0 h 76"/>
                <a:gd name="T2" fmla="*/ 208 w 208"/>
                <a:gd name="T3" fmla="*/ 0 h 76"/>
                <a:gd name="T4" fmla="*/ 0 w 208"/>
                <a:gd name="T5" fmla="*/ 0 h 76"/>
                <a:gd name="T6" fmla="*/ 0 w 208"/>
                <a:gd name="T7" fmla="*/ 76 h 76"/>
                <a:gd name="T8" fmla="*/ 208 w 208"/>
                <a:gd name="T9" fmla="*/ 76 h 76"/>
                <a:gd name="T10" fmla="*/ 208 w 208"/>
                <a:gd name="T11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08" h="76">
                  <a:moveTo>
                    <a:pt x="208" y="0"/>
                  </a:moveTo>
                  <a:lnTo>
                    <a:pt x="208" y="0"/>
                  </a:lnTo>
                  <a:lnTo>
                    <a:pt x="0" y="0"/>
                  </a:lnTo>
                  <a:lnTo>
                    <a:pt x="0" y="76"/>
                  </a:lnTo>
                  <a:lnTo>
                    <a:pt x="208" y="76"/>
                  </a:lnTo>
                  <a:lnTo>
                    <a:pt x="208" y="0"/>
                  </a:lnTo>
                </a:path>
              </a:pathLst>
            </a:cu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 macro="[0]!圆角矩形11_Click">
          <xdr:nvSpPr>
            <xdr:cNvPr id="76" name="Freeform 203"/>
            <xdr:cNvSpPr>
              <a:spLocks noEditPoints="1"/>
            </xdr:cNvSpPr>
          </xdr:nvSpPr>
          <xdr:spPr>
            <a:xfrm>
              <a:off x="9916083" y="1999773"/>
              <a:ext cx="384757" cy="191360"/>
            </a:xfrm>
            <a:custGeom>
              <a:avLst/>
              <a:gdLst>
                <a:gd name="T0" fmla="*/ 76 w 80"/>
                <a:gd name="T1" fmla="*/ 0 h 40"/>
                <a:gd name="T2" fmla="*/ 4 w 80"/>
                <a:gd name="T3" fmla="*/ 0 h 40"/>
                <a:gd name="T4" fmla="*/ 0 w 80"/>
                <a:gd name="T5" fmla="*/ 4 h 40"/>
                <a:gd name="T6" fmla="*/ 0 w 80"/>
                <a:gd name="T7" fmla="*/ 36 h 40"/>
                <a:gd name="T8" fmla="*/ 4 w 80"/>
                <a:gd name="T9" fmla="*/ 40 h 40"/>
                <a:gd name="T10" fmla="*/ 76 w 80"/>
                <a:gd name="T11" fmla="*/ 40 h 40"/>
                <a:gd name="T12" fmla="*/ 80 w 80"/>
                <a:gd name="T13" fmla="*/ 36 h 40"/>
                <a:gd name="T14" fmla="*/ 80 w 80"/>
                <a:gd name="T15" fmla="*/ 4 h 40"/>
                <a:gd name="T16" fmla="*/ 76 w 80"/>
                <a:gd name="T17" fmla="*/ 0 h 40"/>
                <a:gd name="T18" fmla="*/ 72 w 80"/>
                <a:gd name="T19" fmla="*/ 36 h 40"/>
                <a:gd name="T20" fmla="*/ 52 w 80"/>
                <a:gd name="T21" fmla="*/ 36 h 40"/>
                <a:gd name="T22" fmla="*/ 52 w 80"/>
                <a:gd name="T23" fmla="*/ 4 h 40"/>
                <a:gd name="T24" fmla="*/ 72 w 80"/>
                <a:gd name="T25" fmla="*/ 4 h 40"/>
                <a:gd name="T26" fmla="*/ 72 w 80"/>
                <a:gd name="T27" fmla="*/ 36 h 4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</a:cxnLst>
              <a:rect l="0" t="0" r="r" b="b"/>
              <a:pathLst>
                <a:path w="80" h="40">
                  <a:moveTo>
                    <a:pt x="76" y="0"/>
                  </a:moveTo>
                  <a:cubicBezTo>
                    <a:pt x="4" y="0"/>
                    <a:pt x="4" y="0"/>
                    <a:pt x="4" y="0"/>
                  </a:cubicBezTo>
                  <a:cubicBezTo>
                    <a:pt x="2" y="0"/>
                    <a:pt x="0" y="2"/>
                    <a:pt x="0" y="4"/>
                  </a:cubicBezTo>
                  <a:cubicBezTo>
                    <a:pt x="0" y="36"/>
                    <a:pt x="0" y="36"/>
                    <a:pt x="0" y="36"/>
                  </a:cubicBezTo>
                  <a:cubicBezTo>
                    <a:pt x="0" y="38"/>
                    <a:pt x="2" y="40"/>
                    <a:pt x="4" y="40"/>
                  </a:cubicBezTo>
                  <a:cubicBezTo>
                    <a:pt x="76" y="40"/>
                    <a:pt x="76" y="40"/>
                    <a:pt x="76" y="40"/>
                  </a:cubicBezTo>
                  <a:cubicBezTo>
                    <a:pt x="78" y="40"/>
                    <a:pt x="80" y="38"/>
                    <a:pt x="80" y="36"/>
                  </a:cubicBezTo>
                  <a:cubicBezTo>
                    <a:pt x="80" y="4"/>
                    <a:pt x="80" y="4"/>
                    <a:pt x="80" y="4"/>
                  </a:cubicBezTo>
                  <a:cubicBezTo>
                    <a:pt x="80" y="2"/>
                    <a:pt x="78" y="0"/>
                    <a:pt x="76" y="0"/>
                  </a:cubicBezTo>
                  <a:close/>
                  <a:moveTo>
                    <a:pt x="72" y="36"/>
                  </a:moveTo>
                  <a:cubicBezTo>
                    <a:pt x="52" y="36"/>
                    <a:pt x="52" y="36"/>
                    <a:pt x="52" y="36"/>
                  </a:cubicBezTo>
                  <a:cubicBezTo>
                    <a:pt x="52" y="4"/>
                    <a:pt x="52" y="4"/>
                    <a:pt x="52" y="4"/>
                  </a:cubicBezTo>
                  <a:cubicBezTo>
                    <a:pt x="72" y="4"/>
                    <a:pt x="72" y="4"/>
                    <a:pt x="72" y="4"/>
                  </a:cubicBezTo>
                  <a:lnTo>
                    <a:pt x="72" y="36"/>
                  </a:lnTo>
                  <a:close/>
                </a:path>
              </a:pathLst>
            </a:custGeom>
            <a:solidFill>
              <a:srgbClr val="F7D71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</xdr:grpSp>
      <xdr:sp macro="[0]!圆角矩形11_Click">
        <xdr:nvSpPr>
          <xdr:cNvPr id="79" name="TextBox 78"/>
          <xdr:cNvSpPr txBox="1"/>
        </xdr:nvSpPr>
        <xdr:spPr>
          <a:xfrm>
            <a:off x="6324600" y="2686050"/>
            <a:ext cx="885825" cy="3333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zh-CN" altLang="en-US" sz="1100" b="1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保存退出</a:t>
            </a:r>
            <a:endParaRPr lang="zh-CN" altLang="en-US" sz="1100" b="1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>
          <xdr:nvSpPr>
            <xdr:cNvPr id="3073" name="Spinner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819150" y="704850"/>
              <a:ext cx="114300" cy="3073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>
          <xdr:nvSpPr>
            <xdr:cNvPr id="3074" name="Spinner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1733550" y="695325"/>
              <a:ext cx="133350" cy="31686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9525</xdr:rowOff>
    </xdr:from>
    <xdr:to>
      <xdr:col>2</xdr:col>
      <xdr:colOff>363367</xdr:colOff>
      <xdr:row>0</xdr:row>
      <xdr:rowOff>557213</xdr:rowOff>
    </xdr:to>
    <xdr:pic>
      <xdr:nvPicPr>
        <xdr:cNvPr id="4" name="图片 3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296670" cy="5473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2</xdr:col>
      <xdr:colOff>317929</xdr:colOff>
      <xdr:row>0</xdr:row>
      <xdr:rowOff>676274</xdr:rowOff>
    </xdr:to>
    <xdr:pic>
      <xdr:nvPicPr>
        <xdr:cNvPr id="2" name="图片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19050"/>
          <a:ext cx="1555750" cy="656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5" Type="http://schemas.openxmlformats.org/officeDocument/2006/relationships/vmlDrawing" Target="../drawings/vmlDrawing3.v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XEZ22"/>
  <sheetViews>
    <sheetView tabSelected="1" workbookViewId="0">
      <selection activeCell="A2" sqref="A2"/>
    </sheetView>
  </sheetViews>
  <sheetFormatPr defaultColWidth="9" defaultRowHeight="16.5" customHeight="1" zeroHeight="1"/>
  <cols>
    <col min="1" max="1" width="11" style="72" customWidth="1"/>
    <col min="2" max="2" width="12.75" style="72" customWidth="1"/>
    <col min="3" max="5" width="11" style="72" customWidth="1"/>
    <col min="6" max="10" width="9" style="72"/>
    <col min="11" max="16384" width="9" style="73"/>
  </cols>
  <sheetData>
    <row r="1" spans="1:10">
      <c r="A1" s="74">
        <v>1012</v>
      </c>
      <c r="B1" s="75"/>
      <c r="C1" s="75"/>
      <c r="D1" s="75"/>
      <c r="E1" s="75"/>
      <c r="F1" s="75"/>
      <c r="G1" s="75"/>
      <c r="H1" s="75"/>
      <c r="I1" s="80">
        <f ca="1">DAY(TODAY())</f>
        <v>27</v>
      </c>
      <c r="J1" s="81"/>
    </row>
    <row r="2" spans="1:10">
      <c r="A2" s="76"/>
      <c r="B2" s="77"/>
      <c r="C2" s="77"/>
      <c r="D2" s="77"/>
      <c r="E2" s="77"/>
      <c r="F2" s="77"/>
      <c r="G2" s="77"/>
      <c r="H2" s="77"/>
      <c r="I2" s="82"/>
      <c r="J2" s="83"/>
    </row>
    <row r="3" spans="1:10">
      <c r="A3" s="76"/>
      <c r="B3" s="77"/>
      <c r="C3" s="77"/>
      <c r="D3" s="77"/>
      <c r="E3" s="77"/>
      <c r="F3" s="77"/>
      <c r="G3" s="77"/>
      <c r="H3" s="77"/>
      <c r="I3" s="82"/>
      <c r="J3" s="83"/>
    </row>
    <row r="4" ht="17.25" spans="1:10">
      <c r="A4" s="76"/>
      <c r="B4" s="77"/>
      <c r="C4" s="77"/>
      <c r="D4" s="77"/>
      <c r="E4" s="77"/>
      <c r="F4" s="77"/>
      <c r="G4" s="77"/>
      <c r="H4" s="77"/>
      <c r="I4" s="84"/>
      <c r="J4" s="85"/>
    </row>
    <row r="5" ht="17.25" spans="1:10">
      <c r="A5" s="76"/>
      <c r="B5" s="77"/>
      <c r="C5" s="77"/>
      <c r="D5" s="77"/>
      <c r="E5" s="77"/>
      <c r="F5" s="77"/>
      <c r="G5" s="77"/>
      <c r="H5" s="77"/>
      <c r="I5" s="86" t="str">
        <f ca="1">TEXT(WEEKDAY(TODAY(),2),"aaaa")</f>
        <v>星期五</v>
      </c>
      <c r="J5" s="87"/>
    </row>
    <row r="6" spans="1:10">
      <c r="A6" s="76"/>
      <c r="B6" s="77"/>
      <c r="C6" s="77"/>
      <c r="D6" s="77"/>
      <c r="E6" s="77"/>
      <c r="F6" s="77"/>
      <c r="G6" s="77"/>
      <c r="H6" s="77"/>
      <c r="I6" s="77"/>
      <c r="J6" s="88"/>
    </row>
    <row r="7" spans="1:10">
      <c r="A7" s="76"/>
      <c r="B7" s="77"/>
      <c r="C7" s="77"/>
      <c r="D7" s="77"/>
      <c r="E7" s="77"/>
      <c r="F7" s="77"/>
      <c r="G7" s="77"/>
      <c r="H7" s="77"/>
      <c r="I7" s="77"/>
      <c r="J7" s="88"/>
    </row>
    <row r="8" spans="1:10">
      <c r="A8" s="76"/>
      <c r="B8" s="77"/>
      <c r="C8" s="77"/>
      <c r="D8" s="77"/>
      <c r="E8" s="77"/>
      <c r="F8" s="77"/>
      <c r="G8" s="77"/>
      <c r="H8" s="77"/>
      <c r="I8" s="77"/>
      <c r="J8" s="88"/>
    </row>
    <row r="9" spans="1:16378">
      <c r="A9" s="76"/>
      <c r="B9" s="77"/>
      <c r="C9" s="77"/>
      <c r="D9" s="77"/>
      <c r="E9" s="77"/>
      <c r="F9" s="77"/>
      <c r="G9" s="77"/>
      <c r="H9" s="77"/>
      <c r="I9" s="77"/>
      <c r="J9" s="88"/>
      <c r="XEX9" s="90" t="s">
        <v>0</v>
      </c>
    </row>
    <row r="10" spans="1:16380">
      <c r="A10" s="76"/>
      <c r="B10" s="77"/>
      <c r="C10" s="77"/>
      <c r="D10" s="77"/>
      <c r="E10" s="77"/>
      <c r="F10" s="77"/>
      <c r="G10" s="77"/>
      <c r="H10" s="77"/>
      <c r="I10" s="77"/>
      <c r="J10" s="88"/>
      <c r="XEZ10" s="90" t="s">
        <v>0</v>
      </c>
    </row>
    <row r="11" spans="1:10">
      <c r="A11" s="76"/>
      <c r="B11" s="77"/>
      <c r="C11" s="77"/>
      <c r="D11" s="77"/>
      <c r="E11" s="77"/>
      <c r="F11" s="77"/>
      <c r="G11" s="77"/>
      <c r="H11" s="77"/>
      <c r="I11" s="77"/>
      <c r="J11" s="88"/>
    </row>
    <row r="12" spans="1:10">
      <c r="A12" s="76"/>
      <c r="B12" s="77"/>
      <c r="C12" s="77"/>
      <c r="D12" s="77"/>
      <c r="E12" s="77"/>
      <c r="F12" s="77"/>
      <c r="G12" s="77"/>
      <c r="H12" s="77"/>
      <c r="I12" s="77"/>
      <c r="J12" s="88"/>
    </row>
    <row r="13" spans="1:10">
      <c r="A13" s="76"/>
      <c r="B13" s="77"/>
      <c r="C13" s="77"/>
      <c r="D13" s="77"/>
      <c r="E13" s="77"/>
      <c r="F13" s="77"/>
      <c r="G13" s="77"/>
      <c r="H13" s="77"/>
      <c r="I13" s="77"/>
      <c r="J13" s="88"/>
    </row>
    <row r="14" spans="1:10">
      <c r="A14" s="76"/>
      <c r="B14" s="77"/>
      <c r="C14" s="77"/>
      <c r="D14" s="77"/>
      <c r="E14" s="77"/>
      <c r="F14" s="77"/>
      <c r="G14" s="77"/>
      <c r="H14" s="77"/>
      <c r="I14" s="77"/>
      <c r="J14" s="88"/>
    </row>
    <row r="15" spans="1:10">
      <c r="A15" s="76"/>
      <c r="B15" s="77"/>
      <c r="C15" s="77"/>
      <c r="D15" s="77"/>
      <c r="E15" s="77"/>
      <c r="F15" s="77"/>
      <c r="G15" s="77"/>
      <c r="H15" s="77"/>
      <c r="I15" s="77"/>
      <c r="J15" s="88"/>
    </row>
    <row r="16" spans="1:10">
      <c r="A16" s="76"/>
      <c r="B16" s="77"/>
      <c r="C16" s="77"/>
      <c r="D16" s="77"/>
      <c r="E16" s="77"/>
      <c r="F16" s="77"/>
      <c r="G16" s="77"/>
      <c r="H16" s="77"/>
      <c r="I16" s="77"/>
      <c r="J16" s="88"/>
    </row>
    <row r="17" spans="1:10">
      <c r="A17" s="76"/>
      <c r="B17" s="77"/>
      <c r="C17" s="77"/>
      <c r="D17" s="77"/>
      <c r="E17" s="77"/>
      <c r="F17" s="77"/>
      <c r="G17" s="77"/>
      <c r="H17" s="77"/>
      <c r="I17" s="77"/>
      <c r="J17" s="88"/>
    </row>
    <row r="18" spans="1:10">
      <c r="A18" s="76"/>
      <c r="B18" s="77"/>
      <c r="C18" s="77"/>
      <c r="D18" s="77"/>
      <c r="E18" s="77"/>
      <c r="F18" s="77"/>
      <c r="G18" s="77"/>
      <c r="H18" s="77"/>
      <c r="I18" s="77"/>
      <c r="J18" s="88"/>
    </row>
    <row r="19" spans="1:10">
      <c r="A19" s="76"/>
      <c r="B19" s="77"/>
      <c r="C19" s="77"/>
      <c r="D19" s="77"/>
      <c r="E19" s="77"/>
      <c r="F19" s="77"/>
      <c r="G19" s="77"/>
      <c r="H19" s="77"/>
      <c r="I19" s="77"/>
      <c r="J19" s="88"/>
    </row>
    <row r="20" spans="1:10">
      <c r="A20" s="76"/>
      <c r="B20" s="77"/>
      <c r="C20" s="77"/>
      <c r="D20" s="77"/>
      <c r="E20" s="77"/>
      <c r="F20" s="77"/>
      <c r="G20" s="77"/>
      <c r="H20" s="77"/>
      <c r="I20" s="77"/>
      <c r="J20" s="88"/>
    </row>
    <row r="21" spans="1:10">
      <c r="A21" s="76"/>
      <c r="B21" s="77"/>
      <c r="C21" s="77"/>
      <c r="D21" s="77"/>
      <c r="E21" s="77"/>
      <c r="F21" s="77"/>
      <c r="G21" s="77"/>
      <c r="H21" s="77"/>
      <c r="I21" s="77"/>
      <c r="J21" s="88"/>
    </row>
    <row r="22" ht="17.25" spans="1:10">
      <c r="A22" s="78"/>
      <c r="B22" s="79"/>
      <c r="C22" s="79"/>
      <c r="D22" s="79"/>
      <c r="E22" s="79"/>
      <c r="F22" s="79"/>
      <c r="G22" s="79"/>
      <c r="H22" s="79"/>
      <c r="I22" s="79"/>
      <c r="J22" s="89"/>
    </row>
  </sheetData>
  <mergeCells count="2">
    <mergeCell ref="I5:J5"/>
    <mergeCell ref="I1:J4"/>
  </mergeCells>
  <pageMargins left="0.699305555555556" right="0.699305555555556" top="0.75" bottom="0.75" header="0.3" footer="0.3"/>
  <pageSetup paperSize="9" orientation="portrait"/>
  <headerFooter>
    <oddHeader>&amp;C&amp;G</oddHeader>
  </headerFooter>
  <drawing r:id="rId1"/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XEZ53"/>
  <sheetViews>
    <sheetView showGridLines="0" showZeros="0" workbookViewId="0">
      <selection activeCell="XEU12" sqref="XEU12"/>
    </sheetView>
  </sheetViews>
  <sheetFormatPr defaultColWidth="9.125" defaultRowHeight="16.5"/>
  <cols>
    <col min="1" max="7" width="6.125" style="6" customWidth="1"/>
    <col min="8" max="8" width="4.75" style="8" customWidth="1"/>
    <col min="9" max="9" width="22.25" style="8" customWidth="1"/>
    <col min="10" max="11" width="16.125" style="8" customWidth="1"/>
    <col min="12" max="14" width="15" style="8" customWidth="1"/>
    <col min="15" max="16" width="9.625" style="8" customWidth="1"/>
    <col min="17" max="17" width="9.125" style="30"/>
    <col min="18" max="16384" width="9.125" style="31"/>
  </cols>
  <sheetData>
    <row r="1" ht="54.75" customHeight="1" spans="1:17">
      <c r="A1" s="32" t="s">
        <v>1</v>
      </c>
      <c r="B1" s="32"/>
      <c r="C1" s="32"/>
      <c r="D1" s="32"/>
      <c r="E1" s="32"/>
      <c r="F1" s="32"/>
      <c r="G1" s="32"/>
      <c r="H1" s="33"/>
      <c r="I1" s="33"/>
      <c r="J1" s="33"/>
      <c r="K1" s="33"/>
      <c r="L1" s="33"/>
      <c r="M1" s="33"/>
      <c r="N1" s="33"/>
      <c r="O1" s="33"/>
      <c r="P1" s="33"/>
      <c r="Q1" s="33"/>
    </row>
    <row r="2" ht="24.95" customHeight="1" spans="1:17">
      <c r="A2" s="34">
        <v>2021</v>
      </c>
      <c r="B2" s="35">
        <v>1901</v>
      </c>
      <c r="C2" s="36">
        <v>11</v>
      </c>
      <c r="D2" s="37">
        <v>1</v>
      </c>
      <c r="E2" s="38"/>
      <c r="F2" s="39">
        <f>IF(C2=2,IF(OR(A2/400=INT(A2/400),AND(A2/4=INT(A2/4),A2/100&lt;&gt;INT(A2/100))),29,28),IF(OR(C2=4,C2=6,C2=9,C2=11),30,31))</f>
        <v>30</v>
      </c>
      <c r="G2" s="40"/>
      <c r="H2" s="41" t="s">
        <v>2</v>
      </c>
      <c r="I2" s="65" t="s">
        <v>3</v>
      </c>
      <c r="J2" s="65" t="s">
        <v>4</v>
      </c>
      <c r="K2" s="65" t="s">
        <v>5</v>
      </c>
      <c r="L2" s="65" t="s">
        <v>6</v>
      </c>
      <c r="M2" s="65" t="s">
        <v>7</v>
      </c>
      <c r="N2" s="65" t="s">
        <v>8</v>
      </c>
      <c r="O2" s="65" t="s">
        <v>9</v>
      </c>
      <c r="P2" s="65" t="s">
        <v>10</v>
      </c>
      <c r="Q2" s="68" t="s">
        <v>11</v>
      </c>
    </row>
    <row r="3" ht="24.95" customHeight="1" spans="1:17">
      <c r="A3" s="42" t="s">
        <v>12</v>
      </c>
      <c r="B3" s="43" t="s">
        <v>13</v>
      </c>
      <c r="C3" s="43" t="s">
        <v>14</v>
      </c>
      <c r="D3" s="43" t="s">
        <v>15</v>
      </c>
      <c r="E3" s="43" t="s">
        <v>16</v>
      </c>
      <c r="F3" s="43" t="s">
        <v>17</v>
      </c>
      <c r="G3" s="44" t="s">
        <v>18</v>
      </c>
      <c r="H3" s="14">
        <v>1</v>
      </c>
      <c r="I3" s="14" t="s">
        <v>19</v>
      </c>
      <c r="J3" s="66">
        <v>43741</v>
      </c>
      <c r="K3" s="66">
        <v>43756</v>
      </c>
      <c r="L3" s="14" t="s">
        <v>20</v>
      </c>
      <c r="M3" s="14" t="s">
        <v>21</v>
      </c>
      <c r="N3" s="14"/>
      <c r="O3" s="14"/>
      <c r="P3" s="14"/>
      <c r="Q3" s="69"/>
    </row>
    <row r="4" ht="20.25" customHeight="1" spans="1:17">
      <c r="A4" s="45">
        <f>IF(A52=1,1,0)</f>
        <v>0</v>
      </c>
      <c r="B4" s="46">
        <f t="shared" ref="B4:G4" si="0">IF(A4&gt;0,A4+1,IF(B52=1,1,0))</f>
        <v>1</v>
      </c>
      <c r="C4" s="46">
        <f t="shared" si="0"/>
        <v>2</v>
      </c>
      <c r="D4" s="46">
        <f t="shared" si="0"/>
        <v>3</v>
      </c>
      <c r="E4" s="46">
        <f t="shared" si="0"/>
        <v>4</v>
      </c>
      <c r="F4" s="46">
        <f t="shared" si="0"/>
        <v>5</v>
      </c>
      <c r="G4" s="47">
        <f t="shared" si="0"/>
        <v>6</v>
      </c>
      <c r="H4" s="20">
        <v>2</v>
      </c>
      <c r="I4" s="20" t="s">
        <v>22</v>
      </c>
      <c r="J4" s="67">
        <v>43740</v>
      </c>
      <c r="K4" s="67">
        <v>43757</v>
      </c>
      <c r="L4" s="20" t="s">
        <v>23</v>
      </c>
      <c r="M4" s="20" t="s">
        <v>24</v>
      </c>
      <c r="N4" s="20"/>
      <c r="O4" s="20"/>
      <c r="P4" s="20"/>
      <c r="Q4" s="70"/>
    </row>
    <row r="5" ht="20.25" customHeight="1" spans="1:17">
      <c r="A5" s="45">
        <f>G4+1</f>
        <v>7</v>
      </c>
      <c r="B5" s="46">
        <f t="shared" ref="B5:G7" si="1">A5+1</f>
        <v>8</v>
      </c>
      <c r="C5" s="46">
        <f t="shared" si="1"/>
        <v>9</v>
      </c>
      <c r="D5" s="46">
        <f t="shared" si="1"/>
        <v>10</v>
      </c>
      <c r="E5" s="46">
        <f t="shared" si="1"/>
        <v>11</v>
      </c>
      <c r="F5" s="46">
        <f t="shared" si="1"/>
        <v>12</v>
      </c>
      <c r="G5" s="47">
        <f t="shared" si="1"/>
        <v>13</v>
      </c>
      <c r="H5" s="20">
        <v>3</v>
      </c>
      <c r="I5" s="20" t="s">
        <v>25</v>
      </c>
      <c r="J5" s="67">
        <v>43741</v>
      </c>
      <c r="K5" s="67">
        <v>43756</v>
      </c>
      <c r="L5" s="20" t="s">
        <v>26</v>
      </c>
      <c r="M5" s="20" t="s">
        <v>27</v>
      </c>
      <c r="N5" s="20"/>
      <c r="O5" s="20"/>
      <c r="P5" s="20"/>
      <c r="Q5" s="70"/>
    </row>
    <row r="6" ht="20.25" customHeight="1" spans="1:16320">
      <c r="A6" s="45">
        <f>G5+1</f>
        <v>14</v>
      </c>
      <c r="B6" s="46">
        <f t="shared" si="1"/>
        <v>15</v>
      </c>
      <c r="C6" s="46">
        <f t="shared" si="1"/>
        <v>16</v>
      </c>
      <c r="D6" s="46">
        <f t="shared" si="1"/>
        <v>17</v>
      </c>
      <c r="E6" s="46">
        <f t="shared" si="1"/>
        <v>18</v>
      </c>
      <c r="F6" s="46">
        <f t="shared" si="1"/>
        <v>19</v>
      </c>
      <c r="G6" s="47">
        <f t="shared" si="1"/>
        <v>20</v>
      </c>
      <c r="H6" s="20">
        <v>4</v>
      </c>
      <c r="I6" s="20" t="s">
        <v>28</v>
      </c>
      <c r="J6" s="67">
        <v>43743</v>
      </c>
      <c r="K6" s="67">
        <v>43763</v>
      </c>
      <c r="L6" s="20" t="s">
        <v>29</v>
      </c>
      <c r="M6" s="20" t="s">
        <v>30</v>
      </c>
      <c r="N6" s="20"/>
      <c r="O6" s="20"/>
      <c r="P6" s="20"/>
      <c r="Q6" s="70"/>
      <c r="XCR6" s="71" t="s">
        <v>0</v>
      </c>
    </row>
    <row r="7" ht="20.25" customHeight="1" spans="1:17">
      <c r="A7" s="45">
        <f>G6+1</f>
        <v>21</v>
      </c>
      <c r="B7" s="46">
        <f t="shared" si="1"/>
        <v>22</v>
      </c>
      <c r="C7" s="46">
        <f t="shared" si="1"/>
        <v>23</v>
      </c>
      <c r="D7" s="46">
        <f t="shared" si="1"/>
        <v>24</v>
      </c>
      <c r="E7" s="46">
        <f t="shared" si="1"/>
        <v>25</v>
      </c>
      <c r="F7" s="46">
        <f t="shared" si="1"/>
        <v>26</v>
      </c>
      <c r="G7" s="47">
        <f t="shared" si="1"/>
        <v>27</v>
      </c>
      <c r="H7" s="20">
        <v>5</v>
      </c>
      <c r="I7" s="20" t="s">
        <v>31</v>
      </c>
      <c r="J7" s="67">
        <v>43744</v>
      </c>
      <c r="K7" s="67">
        <v>43761</v>
      </c>
      <c r="L7" s="20" t="s">
        <v>29</v>
      </c>
      <c r="M7" s="20" t="s">
        <v>27</v>
      </c>
      <c r="N7" s="20"/>
      <c r="O7" s="20"/>
      <c r="P7" s="20"/>
      <c r="Q7" s="70"/>
    </row>
    <row r="8" ht="20.25" customHeight="1" spans="1:16367">
      <c r="A8" s="45">
        <f>IF(G7+1&gt;$F$2,0,G7+1)</f>
        <v>28</v>
      </c>
      <c r="B8" s="46">
        <f t="shared" ref="B8:G9" si="2">IF(A8=0,0,IF(A8+1&gt;$F$2,0,A8+1))</f>
        <v>29</v>
      </c>
      <c r="C8" s="46">
        <f t="shared" si="2"/>
        <v>30</v>
      </c>
      <c r="D8" s="46">
        <f t="shared" si="2"/>
        <v>0</v>
      </c>
      <c r="E8" s="46">
        <f t="shared" si="2"/>
        <v>0</v>
      </c>
      <c r="F8" s="46">
        <f t="shared" si="2"/>
        <v>0</v>
      </c>
      <c r="G8" s="47">
        <f t="shared" si="2"/>
        <v>0</v>
      </c>
      <c r="H8" s="20">
        <v>1</v>
      </c>
      <c r="I8" s="20" t="s">
        <v>32</v>
      </c>
      <c r="J8" s="67">
        <v>43745</v>
      </c>
      <c r="K8" s="67">
        <v>43760</v>
      </c>
      <c r="L8" s="20" t="s">
        <v>23</v>
      </c>
      <c r="M8" s="20" t="s">
        <v>27</v>
      </c>
      <c r="N8" s="20"/>
      <c r="O8" s="20"/>
      <c r="P8" s="20"/>
      <c r="Q8" s="70"/>
      <c r="XEM8" s="71" t="s">
        <v>0</v>
      </c>
    </row>
    <row r="9" ht="20.25" customHeight="1" spans="1:17">
      <c r="A9" s="48">
        <f>IF(G8=0,0,IF(G8+1&gt;$F$2,0,G8+1))</f>
        <v>0</v>
      </c>
      <c r="B9" s="49">
        <f t="shared" si="2"/>
        <v>0</v>
      </c>
      <c r="C9" s="49">
        <f t="shared" si="2"/>
        <v>0</v>
      </c>
      <c r="D9" s="49">
        <f t="shared" si="2"/>
        <v>0</v>
      </c>
      <c r="E9" s="49">
        <f t="shared" si="2"/>
        <v>0</v>
      </c>
      <c r="F9" s="49">
        <f t="shared" si="2"/>
        <v>0</v>
      </c>
      <c r="G9" s="50">
        <f t="shared" si="2"/>
        <v>0</v>
      </c>
      <c r="H9" s="20">
        <v>2</v>
      </c>
      <c r="I9" s="20" t="s">
        <v>33</v>
      </c>
      <c r="J9" s="67">
        <v>43746</v>
      </c>
      <c r="K9" s="67">
        <v>43759</v>
      </c>
      <c r="L9" s="20" t="s">
        <v>23</v>
      </c>
      <c r="M9" s="20" t="s">
        <v>27</v>
      </c>
      <c r="N9" s="20"/>
      <c r="O9" s="20"/>
      <c r="P9" s="20"/>
      <c r="Q9" s="70"/>
    </row>
    <row r="10" ht="24.95" customHeight="1" spans="1:16380">
      <c r="A10" s="51" t="s">
        <v>34</v>
      </c>
      <c r="B10" s="52"/>
      <c r="C10" s="52"/>
      <c r="D10" s="52"/>
      <c r="E10" s="52"/>
      <c r="F10" s="52"/>
      <c r="G10" s="53"/>
      <c r="H10" s="20">
        <v>3</v>
      </c>
      <c r="I10" s="20" t="s">
        <v>35</v>
      </c>
      <c r="J10" s="67">
        <v>43747</v>
      </c>
      <c r="K10" s="67">
        <v>43766</v>
      </c>
      <c r="L10" s="20" t="s">
        <v>26</v>
      </c>
      <c r="M10" s="20" t="s">
        <v>30</v>
      </c>
      <c r="N10" s="20"/>
      <c r="O10" s="20"/>
      <c r="P10" s="20"/>
      <c r="Q10" s="70"/>
      <c r="XEZ10" s="71" t="s">
        <v>0</v>
      </c>
    </row>
    <row r="11" ht="24.95" customHeight="1" spans="1:17">
      <c r="A11" s="54"/>
      <c r="B11" s="55"/>
      <c r="C11" s="55"/>
      <c r="D11" s="55"/>
      <c r="E11" s="55"/>
      <c r="F11" s="55"/>
      <c r="G11" s="56"/>
      <c r="H11" s="20">
        <v>4</v>
      </c>
      <c r="I11" s="20" t="s">
        <v>36</v>
      </c>
      <c r="J11" s="67">
        <v>43748</v>
      </c>
      <c r="K11" s="67">
        <v>43765</v>
      </c>
      <c r="L11" s="20" t="s">
        <v>20</v>
      </c>
      <c r="M11" s="67">
        <v>43769</v>
      </c>
      <c r="N11" s="20"/>
      <c r="O11" s="20"/>
      <c r="P11" s="20"/>
      <c r="Q11" s="70"/>
    </row>
    <row r="12" ht="24.95" customHeight="1" spans="1:17">
      <c r="A12" s="54"/>
      <c r="B12" s="55"/>
      <c r="C12" s="55"/>
      <c r="D12" s="55"/>
      <c r="E12" s="55"/>
      <c r="F12" s="55"/>
      <c r="G12" s="56"/>
      <c r="H12" s="20">
        <v>5</v>
      </c>
      <c r="I12" s="20"/>
      <c r="J12" s="20"/>
      <c r="K12" s="20"/>
      <c r="L12" s="20"/>
      <c r="M12" s="20"/>
      <c r="N12" s="20"/>
      <c r="O12" s="20"/>
      <c r="P12" s="20"/>
      <c r="Q12" s="70"/>
    </row>
    <row r="13" ht="24.95" customHeight="1" spans="1:17">
      <c r="A13" s="54"/>
      <c r="B13" s="55"/>
      <c r="C13" s="55"/>
      <c r="D13" s="55"/>
      <c r="E13" s="55"/>
      <c r="F13" s="55"/>
      <c r="G13" s="56"/>
      <c r="H13" s="20">
        <v>1</v>
      </c>
      <c r="I13" s="20"/>
      <c r="J13" s="20"/>
      <c r="K13" s="20"/>
      <c r="L13" s="20"/>
      <c r="M13" s="20"/>
      <c r="N13" s="20"/>
      <c r="O13" s="20"/>
      <c r="P13" s="20"/>
      <c r="Q13" s="70"/>
    </row>
    <row r="14" ht="24.95" customHeight="1" spans="1:17">
      <c r="A14" s="54"/>
      <c r="B14" s="55"/>
      <c r="C14" s="55"/>
      <c r="D14" s="55"/>
      <c r="E14" s="55"/>
      <c r="F14" s="55"/>
      <c r="G14" s="56"/>
      <c r="H14" s="20">
        <v>2</v>
      </c>
      <c r="I14" s="20"/>
      <c r="J14" s="20"/>
      <c r="K14" s="20"/>
      <c r="L14" s="20"/>
      <c r="M14" s="20"/>
      <c r="N14" s="20"/>
      <c r="O14" s="20"/>
      <c r="P14" s="20"/>
      <c r="Q14" s="70"/>
    </row>
    <row r="15" ht="24.95" customHeight="1" spans="1:17">
      <c r="A15" s="54"/>
      <c r="B15" s="55"/>
      <c r="C15" s="55"/>
      <c r="D15" s="55"/>
      <c r="E15" s="55"/>
      <c r="F15" s="55"/>
      <c r="G15" s="56"/>
      <c r="H15" s="20">
        <v>3</v>
      </c>
      <c r="I15" s="20"/>
      <c r="J15" s="20"/>
      <c r="K15" s="20"/>
      <c r="L15" s="20"/>
      <c r="M15" s="20"/>
      <c r="N15" s="20"/>
      <c r="O15" s="20"/>
      <c r="P15" s="20"/>
      <c r="Q15" s="70"/>
    </row>
    <row r="16" ht="24.95" customHeight="1" spans="1:17">
      <c r="A16" s="54"/>
      <c r="B16" s="55"/>
      <c r="C16" s="55"/>
      <c r="D16" s="55"/>
      <c r="E16" s="55"/>
      <c r="F16" s="55"/>
      <c r="G16" s="56"/>
      <c r="H16" s="20">
        <v>4</v>
      </c>
      <c r="I16" s="20"/>
      <c r="J16" s="20"/>
      <c r="K16" s="20"/>
      <c r="L16" s="20"/>
      <c r="M16" s="20"/>
      <c r="N16" s="20"/>
      <c r="O16" s="20"/>
      <c r="P16" s="20"/>
      <c r="Q16" s="70"/>
    </row>
    <row r="17" ht="24.95" customHeight="1" spans="1:17">
      <c r="A17" s="54"/>
      <c r="B17" s="55"/>
      <c r="C17" s="55"/>
      <c r="D17" s="55"/>
      <c r="E17" s="55"/>
      <c r="F17" s="55"/>
      <c r="G17" s="56"/>
      <c r="H17" s="20">
        <v>5</v>
      </c>
      <c r="I17" s="20"/>
      <c r="J17" s="20"/>
      <c r="K17" s="20"/>
      <c r="L17" s="20"/>
      <c r="M17" s="20"/>
      <c r="N17" s="20"/>
      <c r="O17" s="20"/>
      <c r="P17" s="20"/>
      <c r="Q17" s="70"/>
    </row>
    <row r="18" ht="24.95" customHeight="1" spans="1:17">
      <c r="A18" s="54"/>
      <c r="B18" s="55"/>
      <c r="C18" s="55"/>
      <c r="D18" s="55"/>
      <c r="E18" s="55"/>
      <c r="F18" s="55"/>
      <c r="G18" s="55"/>
      <c r="H18" s="20">
        <v>6</v>
      </c>
      <c r="I18" s="20"/>
      <c r="J18" s="20"/>
      <c r="K18" s="20"/>
      <c r="L18" s="20"/>
      <c r="M18" s="20"/>
      <c r="N18" s="20"/>
      <c r="O18" s="20"/>
      <c r="P18" s="20"/>
      <c r="Q18" s="70"/>
    </row>
    <row r="19" ht="24.95" customHeight="1" spans="1:17">
      <c r="A19" s="57"/>
      <c r="B19" s="58"/>
      <c r="C19" s="58"/>
      <c r="D19" s="58"/>
      <c r="E19" s="58"/>
      <c r="F19" s="58"/>
      <c r="G19" s="58"/>
      <c r="H19" s="20">
        <v>7</v>
      </c>
      <c r="I19" s="20"/>
      <c r="J19" s="20"/>
      <c r="K19" s="20"/>
      <c r="L19" s="20"/>
      <c r="M19" s="20"/>
      <c r="N19" s="20"/>
      <c r="O19" s="20"/>
      <c r="P19" s="20"/>
      <c r="Q19" s="70"/>
    </row>
    <row r="20" ht="24.95" customHeight="1" spans="1:7">
      <c r="A20" s="59"/>
      <c r="B20" s="60"/>
      <c r="C20" s="60"/>
      <c r="D20" s="60"/>
      <c r="E20" s="60"/>
      <c r="F20" s="60"/>
      <c r="G20" s="59"/>
    </row>
    <row r="21" ht="24.95" customHeight="1" spans="1:7">
      <c r="A21" s="59"/>
      <c r="B21" s="60"/>
      <c r="C21" s="60"/>
      <c r="D21" s="60"/>
      <c r="E21" s="60"/>
      <c r="F21" s="60"/>
      <c r="G21" s="59"/>
    </row>
    <row r="22" ht="24.95" customHeight="1" spans="1:7">
      <c r="A22" s="59"/>
      <c r="B22" s="60"/>
      <c r="C22" s="60"/>
      <c r="D22" s="60"/>
      <c r="E22" s="60"/>
      <c r="F22" s="60"/>
      <c r="G22" s="59"/>
    </row>
    <row r="23" ht="24.95" customHeight="1" spans="1:7">
      <c r="A23" s="59"/>
      <c r="B23" s="60"/>
      <c r="C23" s="60"/>
      <c r="D23" s="60"/>
      <c r="E23" s="60"/>
      <c r="F23" s="60"/>
      <c r="G23" s="59"/>
    </row>
    <row r="24" ht="24.95" customHeight="1" spans="1:7">
      <c r="A24" s="59"/>
      <c r="B24" s="60"/>
      <c r="C24" s="60"/>
      <c r="D24" s="60"/>
      <c r="E24" s="60"/>
      <c r="F24" s="60"/>
      <c r="G24" s="59"/>
    </row>
    <row r="25" ht="24.95" customHeight="1" spans="1:7">
      <c r="A25" s="59"/>
      <c r="B25" s="60"/>
      <c r="C25" s="60"/>
      <c r="D25" s="60"/>
      <c r="E25" s="60"/>
      <c r="F25" s="60"/>
      <c r="G25" s="59"/>
    </row>
    <row r="26" ht="24.95" customHeight="1" spans="1:7">
      <c r="A26" s="59"/>
      <c r="B26" s="60"/>
      <c r="C26" s="60"/>
      <c r="D26" s="60"/>
      <c r="E26" s="60"/>
      <c r="F26" s="60"/>
      <c r="G26" s="59"/>
    </row>
    <row r="27" ht="24.95" customHeight="1" spans="1:7">
      <c r="A27" s="59"/>
      <c r="B27" s="60"/>
      <c r="C27" s="60"/>
      <c r="D27" s="60"/>
      <c r="E27" s="60"/>
      <c r="F27" s="60"/>
      <c r="G27" s="59"/>
    </row>
    <row r="28" ht="24.95" customHeight="1" spans="1:7">
      <c r="A28" s="59"/>
      <c r="B28" s="60"/>
      <c r="C28" s="60"/>
      <c r="D28" s="60"/>
      <c r="E28" s="60"/>
      <c r="F28" s="60"/>
      <c r="G28" s="59"/>
    </row>
    <row r="29" ht="24.95" customHeight="1" spans="1:7">
      <c r="A29" s="59"/>
      <c r="B29" s="60"/>
      <c r="C29" s="60"/>
      <c r="D29" s="60"/>
      <c r="E29" s="60"/>
      <c r="F29" s="60"/>
      <c r="G29" s="59"/>
    </row>
    <row r="30" ht="24.95" customHeight="1" spans="1:7">
      <c r="A30" s="59"/>
      <c r="B30" s="60"/>
      <c r="C30" s="60"/>
      <c r="D30" s="60"/>
      <c r="E30" s="60"/>
      <c r="F30" s="60"/>
      <c r="G30" s="59"/>
    </row>
    <row r="31" ht="24.95" customHeight="1" spans="1:7">
      <c r="A31" s="59"/>
      <c r="B31" s="60"/>
      <c r="C31" s="60"/>
      <c r="D31" s="60"/>
      <c r="E31" s="60"/>
      <c r="F31" s="60"/>
      <c r="G31" s="59"/>
    </row>
    <row r="32" ht="24.95" customHeight="1" spans="1:7">
      <c r="A32" s="59"/>
      <c r="B32" s="60"/>
      <c r="C32" s="60"/>
      <c r="D32" s="60"/>
      <c r="E32" s="60"/>
      <c r="F32" s="60"/>
      <c r="G32" s="59"/>
    </row>
    <row r="33" ht="24.95" customHeight="1" spans="1:7">
      <c r="A33" s="59"/>
      <c r="B33" s="60"/>
      <c r="C33" s="60"/>
      <c r="D33" s="60"/>
      <c r="E33" s="60"/>
      <c r="F33" s="60"/>
      <c r="G33" s="59"/>
    </row>
    <row r="34" ht="24.95" customHeight="1" spans="1:7">
      <c r="A34" s="59"/>
      <c r="B34" s="60"/>
      <c r="C34" s="60"/>
      <c r="D34" s="60"/>
      <c r="E34" s="60"/>
      <c r="F34" s="60"/>
      <c r="G34" s="59"/>
    </row>
    <row r="35" ht="24.95" customHeight="1" spans="1:7">
      <c r="A35" s="59"/>
      <c r="B35" s="60"/>
      <c r="C35" s="60"/>
      <c r="D35" s="60"/>
      <c r="E35" s="60"/>
      <c r="F35" s="60"/>
      <c r="G35" s="59"/>
    </row>
    <row r="36" ht="24.95" customHeight="1" spans="1:7">
      <c r="A36" s="59"/>
      <c r="B36" s="60"/>
      <c r="C36" s="60"/>
      <c r="D36" s="60"/>
      <c r="E36" s="60"/>
      <c r="F36" s="60"/>
      <c r="G36" s="59"/>
    </row>
    <row r="37" ht="24.95" customHeight="1" spans="1:7">
      <c r="A37" s="59"/>
      <c r="B37" s="60"/>
      <c r="C37" s="60"/>
      <c r="D37" s="60"/>
      <c r="E37" s="60"/>
      <c r="F37" s="60"/>
      <c r="G37" s="59"/>
    </row>
    <row r="38" ht="24.95" customHeight="1" spans="1:7">
      <c r="A38" s="59"/>
      <c r="B38" s="60"/>
      <c r="C38" s="60"/>
      <c r="D38" s="60"/>
      <c r="E38" s="60"/>
      <c r="F38" s="60"/>
      <c r="G38" s="59"/>
    </row>
    <row r="39" ht="24.95" customHeight="1" spans="1:7">
      <c r="A39" s="59"/>
      <c r="B39" s="60"/>
      <c r="C39" s="60"/>
      <c r="D39" s="60"/>
      <c r="E39" s="60"/>
      <c r="F39" s="60"/>
      <c r="G39" s="59"/>
    </row>
    <row r="40" ht="24.95" customHeight="1" spans="1:7">
      <c r="A40" s="59"/>
      <c r="B40" s="60"/>
      <c r="C40" s="60"/>
      <c r="D40" s="60"/>
      <c r="E40" s="60"/>
      <c r="F40" s="60"/>
      <c r="G40" s="59"/>
    </row>
    <row r="41" ht="24.95" customHeight="1" spans="1:7">
      <c r="A41" s="59"/>
      <c r="B41" s="60"/>
      <c r="C41" s="60"/>
      <c r="D41" s="60"/>
      <c r="E41" s="60"/>
      <c r="F41" s="60"/>
      <c r="G41" s="59"/>
    </row>
    <row r="42" ht="24.95" customHeight="1" spans="1:7">
      <c r="A42" s="59"/>
      <c r="B42" s="60"/>
      <c r="C42" s="60"/>
      <c r="D42" s="60"/>
      <c r="E42" s="60"/>
      <c r="F42" s="60"/>
      <c r="G42" s="59"/>
    </row>
    <row r="43" ht="24.95" customHeight="1" spans="1:7">
      <c r="A43" s="59"/>
      <c r="B43" s="60"/>
      <c r="C43" s="60"/>
      <c r="D43" s="60"/>
      <c r="E43" s="60"/>
      <c r="F43" s="60"/>
      <c r="G43" s="59"/>
    </row>
    <row r="44" ht="24.95" customHeight="1" spans="1:7">
      <c r="A44" s="59"/>
      <c r="B44" s="60"/>
      <c r="C44" s="60"/>
      <c r="D44" s="60"/>
      <c r="E44" s="60"/>
      <c r="F44" s="60"/>
      <c r="G44" s="59"/>
    </row>
    <row r="45" ht="24.95" customHeight="1" spans="1:7">
      <c r="A45" s="59"/>
      <c r="B45" s="60"/>
      <c r="C45" s="60"/>
      <c r="D45" s="60"/>
      <c r="E45" s="60"/>
      <c r="F45" s="60"/>
      <c r="G45" s="59"/>
    </row>
    <row r="46" ht="24.95" customHeight="1" spans="1:7">
      <c r="A46" s="59"/>
      <c r="B46" s="60"/>
      <c r="C46" s="60"/>
      <c r="D46" s="60"/>
      <c r="E46" s="60"/>
      <c r="F46" s="60"/>
      <c r="G46" s="59"/>
    </row>
    <row r="47" ht="24.95" customHeight="1" spans="1:7">
      <c r="A47" s="59"/>
      <c r="B47" s="60"/>
      <c r="C47" s="60"/>
      <c r="D47" s="60"/>
      <c r="E47" s="60"/>
      <c r="F47" s="60"/>
      <c r="G47" s="59"/>
    </row>
    <row r="48" ht="24.95" customHeight="1" spans="1:7">
      <c r="A48" s="59"/>
      <c r="B48" s="60"/>
      <c r="C48" s="60"/>
      <c r="D48" s="60"/>
      <c r="E48" s="60"/>
      <c r="F48" s="60"/>
      <c r="G48" s="59"/>
    </row>
    <row r="49" ht="24.95" customHeight="1" spans="1:7">
      <c r="A49" s="59"/>
      <c r="B49" s="60"/>
      <c r="C49" s="60"/>
      <c r="D49" s="60"/>
      <c r="E49" s="60"/>
      <c r="F49" s="60"/>
      <c r="G49" s="59"/>
    </row>
    <row r="50" ht="24.95" customHeight="1" spans="1:7">
      <c r="A50" s="59"/>
      <c r="B50" s="60"/>
      <c r="C50" s="60"/>
      <c r="D50" s="60"/>
      <c r="E50" s="60"/>
      <c r="F50" s="60"/>
      <c r="G50" s="59"/>
    </row>
    <row r="51" ht="22.35" customHeight="1" spans="1:7">
      <c r="A51" s="61">
        <v>7</v>
      </c>
      <c r="B51" s="62">
        <v>1</v>
      </c>
      <c r="C51" s="62">
        <v>2</v>
      </c>
      <c r="D51" s="62">
        <v>3</v>
      </c>
      <c r="E51" s="62">
        <v>4</v>
      </c>
      <c r="F51" s="62">
        <v>5</v>
      </c>
      <c r="G51" s="63">
        <v>6</v>
      </c>
    </row>
    <row r="52" ht="22.35" customHeight="1" spans="1:7">
      <c r="A52" s="64">
        <f t="shared" ref="A52:G52" si="3">IF(WEEKDAY(DATE($A$2,$C$2,1),2)=A51,1,0)</f>
        <v>0</v>
      </c>
      <c r="B52" s="64">
        <f t="shared" si="3"/>
        <v>1</v>
      </c>
      <c r="C52" s="64">
        <f t="shared" si="3"/>
        <v>0</v>
      </c>
      <c r="D52" s="64">
        <f t="shared" si="3"/>
        <v>0</v>
      </c>
      <c r="E52" s="64">
        <f t="shared" si="3"/>
        <v>0</v>
      </c>
      <c r="F52" s="64">
        <f t="shared" si="3"/>
        <v>0</v>
      </c>
      <c r="G52" s="64">
        <f t="shared" si="3"/>
        <v>0</v>
      </c>
    </row>
    <row r="53" spans="1:1">
      <c r="A53" s="29"/>
    </row>
  </sheetData>
  <mergeCells count="4">
    <mergeCell ref="A1:Q1"/>
    <mergeCell ref="A2:B2"/>
    <mergeCell ref="C2:D2"/>
    <mergeCell ref="A10:G19"/>
  </mergeCells>
  <conditionalFormatting sqref="L1:N2 L3:L12 L13:N1048576">
    <cfRule type="cellIs" dxfId="0" priority="14" operator="equal">
      <formula>"不重要不紧急"</formula>
    </cfRule>
    <cfRule type="cellIs" dxfId="1" priority="15" operator="equal">
      <formula>"紧急不重要"</formula>
    </cfRule>
    <cfRule type="cellIs" dxfId="1" priority="16" operator="equal">
      <formula>"重要不紧急"</formula>
    </cfRule>
    <cfRule type="cellIs" dxfId="2" priority="17" operator="equal">
      <formula>"重要紧急"</formula>
    </cfRule>
  </conditionalFormatting>
  <conditionalFormatting sqref="M3:N12">
    <cfRule type="cellIs" dxfId="0" priority="1" operator="equal">
      <formula>"已经完成"</formula>
    </cfRule>
    <cfRule type="cellIs" dxfId="0" priority="2" operator="equal">
      <formula>"已完成"</formula>
    </cfRule>
    <cfRule type="cellIs" dxfId="2" priority="3" operator="equal">
      <formula>"未完成"</formula>
    </cfRule>
  </conditionalFormatting>
  <conditionalFormatting sqref="A4:G9 A20:G50 A10">
    <cfRule type="cellIs" dxfId="2" priority="18" operator="equal">
      <formula>DAY(TODAY())</formula>
    </cfRule>
  </conditionalFormatting>
  <dataValidations count="2">
    <dataValidation type="list" allowBlank="1" showInputMessage="1" showErrorMessage="1" sqref="L3:L19 M13:N19">
      <formula1>"重要紧急,重要不紧急,紧急不重要,不重要不紧急"</formula1>
    </dataValidation>
    <dataValidation type="list" allowBlank="1" showInputMessage="1" showErrorMessage="1" sqref="M3:N12">
      <formula1>"已经完成,未完成,进行中,变更,滞后"</formula1>
    </dataValidation>
  </dataValidations>
  <pageMargins left="0.699305555555556" right="0.699305555555556" top="0.75" bottom="0.75" header="0.3" footer="0.3"/>
  <pageSetup paperSize="9" orientation="portrait" horizontalDpi="300" verticalDpi="300"/>
  <headerFooter>
    <oddHeader>&amp;C&amp;G</oddHeader>
  </headerFooter>
  <drawing r:id="rId1"/>
  <legacyDrawing r:id="rId2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Spinner 1" r:id="rId3">
              <controlPr defaultSize="0">
                <anchor moveWithCells="1" sizeWithCells="1">
                  <from>
                    <xdr:col>1</xdr:col>
                    <xdr:colOff>352425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name="Spinner 2" r:id="rId4">
              <controlPr defaultSize="0">
                <anchor moveWithCells="1" sizeWithCells="1">
                  <from>
                    <xdr:col>3</xdr:col>
                    <xdr:colOff>333375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XEX12"/>
  <sheetViews>
    <sheetView showGridLines="0" workbookViewId="0">
      <selection activeCell="XET8" sqref="XET8"/>
    </sheetView>
  </sheetViews>
  <sheetFormatPr defaultColWidth="9" defaultRowHeight="16.5"/>
  <cols>
    <col min="1" max="1" width="5.5" style="6" customWidth="1"/>
    <col min="2" max="2" width="11" style="6" customWidth="1"/>
    <col min="3" max="3" width="26.25" style="6" customWidth="1"/>
    <col min="4" max="4" width="15.375" style="6" customWidth="1"/>
    <col min="5" max="5" width="9" style="6"/>
    <col min="6" max="6" width="28.5" style="6" customWidth="1"/>
    <col min="7" max="7" width="26.625" style="6" customWidth="1"/>
    <col min="8" max="16384" width="9" style="6"/>
  </cols>
  <sheetData>
    <row r="1" ht="59.25" customHeight="1" spans="1:7">
      <c r="A1" s="7" t="s">
        <v>37</v>
      </c>
      <c r="B1" s="8"/>
      <c r="C1" s="8"/>
      <c r="D1" s="8"/>
      <c r="E1" s="8"/>
      <c r="F1" s="8"/>
      <c r="G1" s="8"/>
    </row>
    <row r="2" ht="19.5" customHeight="1" spans="1:7">
      <c r="A2" s="9" t="s">
        <v>2</v>
      </c>
      <c r="B2" s="10" t="s">
        <v>38</v>
      </c>
      <c r="C2" s="10" t="s">
        <v>3</v>
      </c>
      <c r="D2" s="10" t="s">
        <v>7</v>
      </c>
      <c r="E2" s="10" t="s">
        <v>11</v>
      </c>
      <c r="F2" s="10" t="s">
        <v>39</v>
      </c>
      <c r="G2" s="11" t="s">
        <v>40</v>
      </c>
    </row>
    <row r="3" ht="36" customHeight="1" spans="1:7">
      <c r="A3" s="12">
        <v>1</v>
      </c>
      <c r="B3" s="13">
        <v>0.375</v>
      </c>
      <c r="C3" s="14" t="s">
        <v>19</v>
      </c>
      <c r="D3" s="15" t="s">
        <v>41</v>
      </c>
      <c r="E3" s="15"/>
      <c r="F3" s="16" t="s">
        <v>42</v>
      </c>
      <c r="G3" s="17"/>
    </row>
    <row r="4" ht="36" customHeight="1" spans="1:7">
      <c r="A4" s="18">
        <v>2</v>
      </c>
      <c r="B4" s="19">
        <v>0.416666666666667</v>
      </c>
      <c r="C4" s="20" t="s">
        <v>43</v>
      </c>
      <c r="D4" s="21" t="s">
        <v>21</v>
      </c>
      <c r="E4" s="21"/>
      <c r="F4" s="22"/>
      <c r="G4" s="23"/>
    </row>
    <row r="5" ht="36" customHeight="1" spans="1:7">
      <c r="A5" s="18">
        <v>3</v>
      </c>
      <c r="B5" s="19">
        <v>0.458333333333333</v>
      </c>
      <c r="C5" s="21" t="s">
        <v>44</v>
      </c>
      <c r="D5" s="21" t="s">
        <v>41</v>
      </c>
      <c r="E5" s="21"/>
      <c r="F5" s="22"/>
      <c r="G5" s="23"/>
    </row>
    <row r="6" ht="36" customHeight="1" spans="1:16378">
      <c r="A6" s="18">
        <v>4</v>
      </c>
      <c r="B6" s="19">
        <v>0.5</v>
      </c>
      <c r="C6" s="21"/>
      <c r="D6" s="21"/>
      <c r="E6" s="21"/>
      <c r="F6" s="22"/>
      <c r="G6" s="23"/>
      <c r="XEX6" s="29" t="s">
        <v>0</v>
      </c>
    </row>
    <row r="7" ht="36" customHeight="1" spans="1:7">
      <c r="A7" s="18">
        <v>5</v>
      </c>
      <c r="B7" s="19">
        <v>0.541666666666667</v>
      </c>
      <c r="C7" s="21"/>
      <c r="D7" s="21"/>
      <c r="E7" s="21"/>
      <c r="F7" s="22"/>
      <c r="G7" s="23"/>
    </row>
    <row r="8" ht="36" customHeight="1" spans="1:7">
      <c r="A8" s="18">
        <v>6</v>
      </c>
      <c r="B8" s="19">
        <v>0.583333333333333</v>
      </c>
      <c r="C8" s="21"/>
      <c r="D8" s="21"/>
      <c r="E8" s="21"/>
      <c r="F8" s="22"/>
      <c r="G8" s="23"/>
    </row>
    <row r="9" ht="36" customHeight="1" spans="1:7">
      <c r="A9" s="18">
        <v>7</v>
      </c>
      <c r="B9" s="19">
        <v>0.625</v>
      </c>
      <c r="C9" s="21"/>
      <c r="D9" s="21"/>
      <c r="E9" s="21"/>
      <c r="F9" s="22"/>
      <c r="G9" s="23"/>
    </row>
    <row r="10" ht="36" customHeight="1" spans="1:7">
      <c r="A10" s="18">
        <v>8</v>
      </c>
      <c r="B10" s="19">
        <v>0.666666666666667</v>
      </c>
      <c r="C10" s="21"/>
      <c r="D10" s="21"/>
      <c r="E10" s="21"/>
      <c r="F10" s="22"/>
      <c r="G10" s="23"/>
    </row>
    <row r="11" ht="36" customHeight="1" spans="1:7">
      <c r="A11" s="18">
        <v>9</v>
      </c>
      <c r="B11" s="19">
        <v>0.708333333333333</v>
      </c>
      <c r="C11" s="21"/>
      <c r="D11" s="21"/>
      <c r="E11" s="21"/>
      <c r="F11" s="22"/>
      <c r="G11" s="23"/>
    </row>
    <row r="12" ht="36" customHeight="1" spans="1:7">
      <c r="A12" s="24">
        <v>10</v>
      </c>
      <c r="B12" s="25">
        <v>0.75</v>
      </c>
      <c r="C12" s="26"/>
      <c r="D12" s="26"/>
      <c r="E12" s="26"/>
      <c r="F12" s="27"/>
      <c r="G12" s="28"/>
    </row>
  </sheetData>
  <mergeCells count="3">
    <mergeCell ref="A1:G1"/>
    <mergeCell ref="F3:F12"/>
    <mergeCell ref="G3:G12"/>
  </mergeCells>
  <conditionalFormatting sqref="D$1:D$1048576">
    <cfRule type="cellIs" dxfId="2" priority="1" operator="equal">
      <formula>"未完成"</formula>
    </cfRule>
  </conditionalFormatting>
  <dataValidations count="1">
    <dataValidation type="list" allowBlank="1" showInputMessage="1" showErrorMessage="1" sqref="D3:D12">
      <formula1>"完成,未完成"</formula1>
    </dataValidation>
  </dataValidations>
  <pageMargins left="0.699305555555556" right="0.699305555555556" top="0.75" bottom="0.75" header="0.3" footer="0.3"/>
  <pageSetup paperSize="9" orientation="portrait"/>
  <headerFooter>
    <oddHeader>&amp;C&amp;G</oddHeader>
  </headerFooter>
  <drawing r:id="rId1"/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XEZ9"/>
  <sheetViews>
    <sheetView workbookViewId="0">
      <selection activeCell="O20" sqref="O20"/>
    </sheetView>
  </sheetViews>
  <sheetFormatPr defaultColWidth="9" defaultRowHeight="13.5"/>
  <cols>
    <col min="1" max="1" width="14" customWidth="1"/>
    <col min="2" max="2" width="15.25" customWidth="1"/>
  </cols>
  <sheetData>
    <row r="1" ht="37.5" customHeight="1" spans="1:2">
      <c r="A1" s="1" t="s">
        <v>45</v>
      </c>
      <c r="B1" s="2" t="s">
        <v>46</v>
      </c>
    </row>
    <row r="2" ht="24" customHeight="1" spans="1:2">
      <c r="A2" s="3" t="s">
        <v>47</v>
      </c>
      <c r="B2" s="4">
        <v>123</v>
      </c>
    </row>
    <row r="9" spans="16380:16380">
      <c r="XEZ9" s="5" t="s">
        <v>0</v>
      </c>
    </row>
  </sheetData>
  <dataValidations count="1">
    <dataValidation type="custom" allowBlank="1" showInputMessage="1" showErrorMessage="1" error="用户名不能重复" sqref="A2">
      <formula1>COUNTIF(A:A,A2)&lt;=1</formula1>
    </dataValidation>
  </dataValidation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目录</vt:lpstr>
      <vt:lpstr>月度工作计划</vt:lpstr>
      <vt:lpstr>每日工作计划</vt:lpstr>
      <vt:lpstr>账号管理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2006-09-16T00:00:00Z</dcterms:created>
  <dcterms:modified xsi:type="dcterms:W3CDTF">2021-02-27T08:15:50Z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