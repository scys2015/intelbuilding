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095" windowHeight="12180"/>
  </bookViews>
  <sheets>
    <sheet name="目录" sheetId="3" r:id="rId1"/>
    <sheet name="1-万年历提醒" sheetId="1" r:id="rId2"/>
    <sheet name="2-工作记录" sheetId="2" r:id="rId3"/>
  </sheets>
  <definedNames>
    <definedName name="_xlnm._FilterDatabase" localSheetId="2" hidden="1">'2-工作记录'!$A$2:$E$12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H5" authorId="0">
      <text>
        <r>
          <rPr>
            <sz val="9"/>
            <rFont val="宋体"/>
            <charset val="134"/>
          </rPr>
          <t>说明：如果此处弹出错误对话框，应该是“2-工作记录”中无当天的记录所致。请先在2-工作记录中进行补充。不然会无法引用报错。</t>
        </r>
      </text>
    </comment>
  </commentList>
</comments>
</file>

<file path=xl/sharedStrings.xml><?xml version="1.0" encoding="utf-8"?>
<sst xmlns="http://schemas.openxmlformats.org/spreadsheetml/2006/main" count="24">
  <si>
    <r>
      <rPr>
        <b/>
        <sz val="28"/>
        <color theme="0"/>
        <rFont val="微软雅黑"/>
        <charset val="134"/>
      </rPr>
      <t>工作计划管理系统</t>
    </r>
    <r>
      <rPr>
        <b/>
        <sz val="20"/>
        <color theme="0"/>
        <rFont val="微软雅黑"/>
        <charset val="134"/>
      </rPr>
      <t>（未完成提醒）</t>
    </r>
    <r>
      <rPr>
        <b/>
        <sz val="28"/>
        <color theme="0"/>
        <rFont val="微软雅黑"/>
        <charset val="134"/>
      </rPr>
      <t xml:space="preserve">
</t>
    </r>
    <r>
      <rPr>
        <b/>
        <sz val="11"/>
        <color theme="0"/>
        <rFont val="微软雅黑"/>
        <charset val="134"/>
      </rPr>
      <t xml:space="preserve">Work plan management system </t>
    </r>
  </si>
  <si>
    <t>本文档由稻壳儿奋斗的小青年设计制作，盗版必究。</t>
  </si>
  <si>
    <t>万年历工作提醒</t>
  </si>
  <si>
    <t>编号</t>
  </si>
  <si>
    <t>永远不再提醒</t>
  </si>
  <si>
    <t>本次提醒</t>
  </si>
  <si>
    <r>
      <rPr>
        <sz val="12"/>
        <color theme="0"/>
        <rFont val="微软雅黑"/>
        <charset val="134"/>
      </rPr>
      <t>今天是</t>
    </r>
    <r>
      <rPr>
        <sz val="1"/>
        <color rgb="FF00B0F0"/>
        <rFont val="微软雅黑"/>
        <charset val="134"/>
      </rPr>
      <t>"奋斗的小青年"</t>
    </r>
  </si>
  <si>
    <t>否</t>
  </si>
  <si>
    <t>是</t>
  </si>
  <si>
    <t>星期日</t>
  </si>
  <si>
    <t>星期一</t>
  </si>
  <si>
    <t>星期二</t>
  </si>
  <si>
    <t>星期三</t>
  </si>
  <si>
    <t>星期四</t>
  </si>
  <si>
    <t>星期五</t>
  </si>
  <si>
    <t>星期六</t>
  </si>
  <si>
    <t>说明：如果不想再提示，可将L2修改为是</t>
  </si>
  <si>
    <t>工作计划记录</t>
  </si>
  <si>
    <t>时间</t>
  </si>
  <si>
    <t>工作计划</t>
  </si>
  <si>
    <t>未完成工作</t>
  </si>
  <si>
    <t>备注</t>
  </si>
  <si>
    <t>1、召开半年度工作会议；
2、启动年中绩效考核；</t>
  </si>
  <si>
    <t>1、召开半年度工作会议；
2、启动年中绩效考核.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</si>
</sst>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General\ &quot;月&quot;"/>
    <numFmt numFmtId="177" formatCode="General\ &quot;年&quot;"/>
    <numFmt numFmtId="178" formatCode="[$-F800]dddd\,\ mmmm\ dd\,\ yyyy"/>
    <numFmt numFmtId="179" formatCode="[$-804]aaaa;@"/>
    <numFmt numFmtId="180" formatCode="[$-409]d\-mmm;@"/>
  </numFmts>
  <fonts count="37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b/>
      <sz val="18"/>
      <color theme="1"/>
      <name val="微软雅黑"/>
      <charset val="134"/>
    </font>
    <font>
      <b/>
      <sz val="18"/>
      <color rgb="FF00B0F0"/>
      <name val="微软雅黑"/>
      <charset val="134"/>
    </font>
    <font>
      <sz val="11"/>
      <color theme="1" tint="0.0499893185216834"/>
      <name val="微软雅黑"/>
      <charset val="134"/>
    </font>
    <font>
      <sz val="11"/>
      <color rgb="FF00B0F0"/>
      <name val="微软雅黑"/>
      <charset val="134"/>
    </font>
    <font>
      <sz val="11"/>
      <color theme="0"/>
      <name val="微软雅黑"/>
      <charset val="134"/>
    </font>
    <font>
      <sz val="12"/>
      <color theme="0"/>
      <name val="微软雅黑"/>
      <charset val="134"/>
    </font>
    <font>
      <sz val="10"/>
      <color rgb="FFFF0000"/>
      <name val="微软雅黑"/>
      <charset val="134"/>
    </font>
    <font>
      <sz val="10"/>
      <color theme="1" tint="0.0499893185216834"/>
      <name val="微软雅黑"/>
      <charset val="134"/>
    </font>
    <font>
      <sz val="12"/>
      <color rgb="FFFF0000"/>
      <name val="微软雅黑"/>
      <charset val="134"/>
    </font>
    <font>
      <sz val="12"/>
      <color theme="1" tint="0.249977111117893"/>
      <name val="微软雅黑"/>
      <charset val="134"/>
    </font>
    <font>
      <b/>
      <sz val="11"/>
      <color theme="0"/>
      <name val="微软雅黑"/>
      <charset val="134"/>
    </font>
    <font>
      <sz val="10"/>
      <color rgb="FF00B0F0"/>
      <name val="宋体"/>
      <charset val="134"/>
      <scheme val="minor"/>
    </font>
    <font>
      <b/>
      <sz val="28"/>
      <color theme="0"/>
      <name val="微软雅黑"/>
      <charset val="134"/>
    </font>
    <font>
      <sz val="11"/>
      <color theme="0" tint="-0.349986266670736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"/>
      <color rgb="FF00B0F0"/>
      <name val="微软雅黑"/>
      <charset val="134"/>
    </font>
    <font>
      <b/>
      <sz val="20"/>
      <color theme="0"/>
      <name val="微软雅黑"/>
      <charset val="134"/>
    </font>
  </fonts>
  <fills count="38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 style="thin">
        <color theme="1" tint="0.149998474074526"/>
      </right>
      <top style="medium">
        <color rgb="FF00B0F0"/>
      </top>
      <bottom/>
      <diagonal/>
    </border>
    <border>
      <left style="thin">
        <color theme="1" tint="0.149998474074526"/>
      </left>
      <right/>
      <top style="medium">
        <color rgb="FF00B0F0"/>
      </top>
      <bottom/>
      <diagonal/>
    </border>
    <border>
      <left style="thin">
        <color theme="1" tint="0.149998474074526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3399FF"/>
      </right>
      <top style="medium">
        <color rgb="FF00B0F0"/>
      </top>
      <bottom style="medium">
        <color rgb="FF00B0F0"/>
      </bottom>
      <diagonal/>
    </border>
    <border>
      <left style="medium">
        <color rgb="FF3399FF"/>
      </left>
      <right style="medium">
        <color theme="0"/>
      </right>
      <top style="medium">
        <color rgb="FF3399FF"/>
      </top>
      <bottom style="medium">
        <color theme="0"/>
      </bottom>
      <diagonal/>
    </border>
    <border>
      <left/>
      <right/>
      <top style="medium">
        <color rgb="FF00B0F0"/>
      </top>
      <bottom/>
      <diagonal/>
    </border>
    <border>
      <left style="medium">
        <color rgb="FF3399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rgb="FF00B0F0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B0F0"/>
      </left>
      <right/>
      <top/>
      <bottom/>
      <diagonal/>
    </border>
    <border>
      <left style="medium">
        <color rgb="FF3399FF"/>
      </left>
      <right/>
      <top style="medium">
        <color theme="0"/>
      </top>
      <bottom/>
      <diagonal/>
    </border>
    <border>
      <left style="medium">
        <color rgb="FF3399FF"/>
      </left>
      <right/>
      <top/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 style="medium">
        <color rgb="FF3399FF"/>
      </left>
      <right/>
      <top/>
      <bottom style="medium">
        <color rgb="FF3399FF"/>
      </bottom>
      <diagonal/>
    </border>
    <border>
      <left style="medium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/>
      <top/>
      <bottom style="thin">
        <color theme="1" tint="0.149998474074526"/>
      </bottom>
      <diagonal/>
    </border>
    <border>
      <left style="thin">
        <color theme="1" tint="0.149998474074526"/>
      </left>
      <right/>
      <top/>
      <bottom/>
      <diagonal/>
    </border>
    <border>
      <left style="medium">
        <color theme="1" tint="0.149998474074526"/>
      </left>
      <right style="thin">
        <color theme="1" tint="0.149998474074526"/>
      </right>
      <top style="thin">
        <color theme="1" tint="0.149998474074526"/>
      </top>
      <bottom style="thin">
        <color theme="1" tint="0.149998474074526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theme="0"/>
      </left>
      <right style="medium">
        <color rgb="FF3399FF"/>
      </right>
      <top style="medium">
        <color rgb="FF3399FF"/>
      </top>
      <bottom style="medium">
        <color theme="0"/>
      </bottom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 style="medium">
        <color theme="0"/>
      </left>
      <right style="medium">
        <color rgb="FF3399FF"/>
      </right>
      <top style="medium">
        <color theme="0"/>
      </top>
      <bottom style="medium">
        <color theme="0"/>
      </bottom>
      <diagonal/>
    </border>
    <border>
      <left/>
      <right/>
      <top style="thin">
        <color rgb="FF00B0F0"/>
      </top>
      <bottom/>
      <diagonal/>
    </border>
    <border>
      <left/>
      <right style="medium">
        <color rgb="FF3399FF"/>
      </right>
      <top style="medium">
        <color theme="0"/>
      </top>
      <bottom/>
      <diagonal/>
    </border>
    <border>
      <left/>
      <right style="medium">
        <color rgb="FF3399FF"/>
      </right>
      <top/>
      <bottom/>
      <diagonal/>
    </border>
    <border>
      <left/>
      <right style="medium">
        <color rgb="FF3399FF"/>
      </right>
      <top/>
      <bottom style="medium">
        <color rgb="FF3399FF"/>
      </bottom>
      <diagonal/>
    </border>
    <border>
      <left/>
      <right style="thin">
        <color theme="1" tint="0.149998474074526"/>
      </right>
      <top/>
      <bottom/>
      <diagonal/>
    </border>
    <border>
      <left/>
      <right style="thin">
        <color theme="1" tint="0.149998474074526"/>
      </right>
      <top/>
      <bottom style="thin">
        <color theme="1" tint="0.149998474074526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theme="0"/>
      </bottom>
      <diagonal/>
    </border>
    <border>
      <left/>
      <right style="medium">
        <color auto="1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25" fillId="24" borderId="4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3" borderId="46" applyNumberFormat="0" applyFont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2" fillId="0" borderId="44" applyNumberFormat="0" applyFill="0" applyAlignment="0" applyProtection="0">
      <alignment vertical="center"/>
    </xf>
    <xf numFmtId="0" fontId="26" fillId="0" borderId="44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19" fillId="0" borderId="43" applyNumberFormat="0" applyFill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17" fillId="12" borderId="42" applyNumberFormat="0" applyAlignment="0" applyProtection="0">
      <alignment vertical="center"/>
    </xf>
    <xf numFmtId="0" fontId="23" fillId="12" borderId="45" applyNumberFormat="0" applyAlignment="0" applyProtection="0">
      <alignment vertical="center"/>
    </xf>
    <xf numFmtId="0" fontId="29" fillId="32" borderId="47" applyNumberFormat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31" fillId="0" borderId="48" applyNumberFormat="0" applyFill="0" applyAlignment="0" applyProtection="0">
      <alignment vertical="center"/>
    </xf>
    <xf numFmtId="0" fontId="32" fillId="0" borderId="49" applyNumberFormat="0" applyFill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</cellStyleXfs>
  <cellXfs count="68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31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0" fillId="0" borderId="0" xfId="0" applyFill="1"/>
    <xf numFmtId="0" fontId="3" fillId="3" borderId="0" xfId="0" applyFont="1" applyFill="1" applyAlignment="1">
      <alignment horizontal="center" vertical="center"/>
    </xf>
    <xf numFmtId="177" fontId="4" fillId="4" borderId="3" xfId="0" applyNumberFormat="1" applyFont="1" applyFill="1" applyBorder="1" applyAlignment="1">
      <alignment horizontal="center" vertical="center"/>
    </xf>
    <xf numFmtId="177" fontId="4" fillId="4" borderId="4" xfId="0" applyNumberFormat="1" applyFont="1" applyFill="1" applyBorder="1" applyAlignment="1">
      <alignment horizontal="center" vertical="center"/>
    </xf>
    <xf numFmtId="176" fontId="4" fillId="4" borderId="5" xfId="0" applyNumberFormat="1" applyFont="1" applyFill="1" applyBorder="1" applyAlignment="1">
      <alignment horizontal="center" vertical="center"/>
    </xf>
    <xf numFmtId="176" fontId="4" fillId="4" borderId="4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6" fillId="4" borderId="7" xfId="0" applyFont="1" applyFill="1" applyBorder="1" applyAlignment="1">
      <alignment vertical="center"/>
    </xf>
    <xf numFmtId="0" fontId="5" fillId="4" borderId="8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179" fontId="8" fillId="4" borderId="3" xfId="0" applyNumberFormat="1" applyFont="1" applyFill="1" applyBorder="1" applyAlignment="1">
      <alignment horizontal="center" vertical="center"/>
    </xf>
    <xf numFmtId="179" fontId="9" fillId="4" borderId="10" xfId="0" applyNumberFormat="1" applyFont="1" applyFill="1" applyBorder="1" applyAlignment="1">
      <alignment horizontal="center" vertical="center"/>
    </xf>
    <xf numFmtId="179" fontId="8" fillId="4" borderId="10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178" fontId="7" fillId="5" borderId="11" xfId="0" applyNumberFormat="1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180" fontId="12" fillId="6" borderId="15" xfId="0" applyNumberFormat="1" applyFont="1" applyFill="1" applyBorder="1" applyAlignment="1">
      <alignment horizontal="left" vertical="center" wrapText="1"/>
    </xf>
    <xf numFmtId="180" fontId="12" fillId="6" borderId="16" xfId="0" applyNumberFormat="1" applyFont="1" applyFill="1" applyBorder="1" applyAlignment="1">
      <alignment horizontal="left" vertical="center" wrapText="1"/>
    </xf>
    <xf numFmtId="0" fontId="10" fillId="4" borderId="17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180" fontId="12" fillId="6" borderId="19" xfId="0" applyNumberFormat="1" applyFont="1" applyFill="1" applyBorder="1" applyAlignment="1">
      <alignment horizontal="left" vertical="center" wrapText="1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4" fontId="1" fillId="0" borderId="23" xfId="0" applyNumberFormat="1" applyFont="1" applyBorder="1" applyAlignment="1">
      <alignment vertical="center"/>
    </xf>
    <xf numFmtId="0" fontId="1" fillId="0" borderId="24" xfId="0" applyFont="1" applyBorder="1" applyAlignment="1">
      <alignment horizontal="center" vertical="center"/>
    </xf>
    <xf numFmtId="14" fontId="1" fillId="0" borderId="22" xfId="0" applyNumberFormat="1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1" fillId="7" borderId="25" xfId="0" applyFont="1" applyFill="1" applyBorder="1" applyAlignment="1">
      <alignment horizontal="center" vertical="center"/>
    </xf>
    <xf numFmtId="0" fontId="1" fillId="7" borderId="26" xfId="0" applyFont="1" applyFill="1" applyBorder="1" applyAlignment="1">
      <alignment horizontal="center" vertical="center"/>
    </xf>
    <xf numFmtId="0" fontId="1" fillId="7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13" fillId="0" borderId="31" xfId="0" applyFont="1" applyBorder="1" applyAlignment="1">
      <alignment horizontal="left" vertical="center"/>
    </xf>
    <xf numFmtId="178" fontId="7" fillId="5" borderId="30" xfId="0" applyNumberFormat="1" applyFont="1" applyFill="1" applyBorder="1" applyAlignment="1">
      <alignment horizontal="center" vertical="center"/>
    </xf>
    <xf numFmtId="178" fontId="7" fillId="0" borderId="0" xfId="0" applyNumberFormat="1" applyFont="1" applyFill="1" applyBorder="1" applyAlignment="1">
      <alignment horizontal="center" vertical="center"/>
    </xf>
    <xf numFmtId="180" fontId="12" fillId="6" borderId="32" xfId="0" applyNumberFormat="1" applyFont="1" applyFill="1" applyBorder="1" applyAlignment="1">
      <alignment horizontal="left" vertical="center" wrapText="1"/>
    </xf>
    <xf numFmtId="180" fontId="12" fillId="0" borderId="0" xfId="0" applyNumberFormat="1" applyFont="1" applyFill="1" applyBorder="1" applyAlignment="1">
      <alignment horizontal="left" vertical="center" wrapText="1"/>
    </xf>
    <xf numFmtId="180" fontId="12" fillId="6" borderId="33" xfId="0" applyNumberFormat="1" applyFont="1" applyFill="1" applyBorder="1" applyAlignment="1">
      <alignment horizontal="left" vertical="center" wrapText="1"/>
    </xf>
    <xf numFmtId="180" fontId="12" fillId="6" borderId="34" xfId="0" applyNumberFormat="1" applyFont="1" applyFill="1" applyBorder="1" applyAlignment="1">
      <alignment horizontal="left" vertical="center" wrapText="1"/>
    </xf>
    <xf numFmtId="14" fontId="1" fillId="0" borderId="35" xfId="0" applyNumberFormat="1" applyFont="1" applyBorder="1" applyAlignment="1">
      <alignment vertical="center"/>
    </xf>
    <xf numFmtId="14" fontId="1" fillId="0" borderId="0" xfId="0" applyNumberFormat="1" applyFont="1" applyFill="1" applyBorder="1" applyAlignment="1">
      <alignment vertical="center"/>
    </xf>
    <xf numFmtId="14" fontId="1" fillId="0" borderId="36" xfId="0" applyNumberFormat="1" applyFont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8" borderId="0" xfId="0" applyFill="1"/>
    <xf numFmtId="0" fontId="14" fillId="9" borderId="37" xfId="0" applyFont="1" applyFill="1" applyBorder="1" applyAlignment="1">
      <alignment horizontal="center" vertical="center" wrapText="1"/>
    </xf>
    <xf numFmtId="0" fontId="14" fillId="9" borderId="38" xfId="0" applyFont="1" applyFill="1" applyBorder="1" applyAlignment="1">
      <alignment horizontal="center" vertical="center"/>
    </xf>
    <xf numFmtId="0" fontId="0" fillId="2" borderId="39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14" fillId="9" borderId="40" xfId="0" applyFont="1" applyFill="1" applyBorder="1" applyAlignment="1">
      <alignment horizontal="center" vertical="center"/>
    </xf>
    <xf numFmtId="0" fontId="0" fillId="2" borderId="41" xfId="0" applyFill="1" applyBorder="1"/>
    <xf numFmtId="0" fontId="15" fillId="8" borderId="0" xfId="0" applyFon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Spin" dx="16" fmlaLink="$A$2" max="2050" min="1900" page="10" val="2019"/>
</file>

<file path=xl/ctrlProps/ctrlProp2.xml><?xml version="1.0" encoding="utf-8"?>
<formControlPr xmlns="http://schemas.microsoft.com/office/spreadsheetml/2009/9/main" objectType="Spin" dx="16" fmlaLink="$C$2" max="12" min="1" page="10" val="7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2-&#24037;&#20316;&#35760;&#24405;'!A1"/><Relationship Id="rId1" Type="http://schemas.openxmlformats.org/officeDocument/2006/relationships/hyperlink" Target="#'1-&#19975;&#24180;&#21382;&#25552;&#37266;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30446;&#24405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30446;&#24405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1304925</xdr:colOff>
      <xdr:row>0</xdr:row>
      <xdr:rowOff>485775</xdr:rowOff>
    </xdr:from>
    <xdr:to>
      <xdr:col>11</xdr:col>
      <xdr:colOff>647700</xdr:colOff>
      <xdr:row>15</xdr:row>
      <xdr:rowOff>9525</xdr:rowOff>
    </xdr:to>
    <xdr:sp>
      <xdr:nvSpPr>
        <xdr:cNvPr id="2" name="矩形 1"/>
        <xdr:cNvSpPr/>
      </xdr:nvSpPr>
      <xdr:spPr>
        <a:xfrm>
          <a:off x="1304925" y="485775"/>
          <a:ext cx="8001000" cy="5133975"/>
        </a:xfrm>
        <a:prstGeom prst="rect">
          <a:avLst/>
        </a:prstGeom>
        <a:noFill/>
        <a:ln w="762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19050</xdr:colOff>
      <xdr:row>1</xdr:row>
      <xdr:rowOff>790575</xdr:rowOff>
    </xdr:from>
    <xdr:to>
      <xdr:col>11</xdr:col>
      <xdr:colOff>619125</xdr:colOff>
      <xdr:row>1</xdr:row>
      <xdr:rowOff>790575</xdr:rowOff>
    </xdr:to>
    <xdr:cxnSp>
      <xdr:nvCxnSpPr>
        <xdr:cNvPr id="3" name="直接连接符 2"/>
        <xdr:cNvCxnSpPr/>
      </xdr:nvCxnSpPr>
      <xdr:spPr>
        <a:xfrm>
          <a:off x="1323975" y="1276350"/>
          <a:ext cx="7953375" cy="0"/>
        </a:xfrm>
        <a:prstGeom prst="line">
          <a:avLst/>
        </a:prstGeom>
        <a:ln w="38100">
          <a:solidFill>
            <a:srgbClr val="00B0F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285750</xdr:colOff>
      <xdr:row>1</xdr:row>
      <xdr:rowOff>95253</xdr:rowOff>
    </xdr:from>
    <xdr:to>
      <xdr:col>3</xdr:col>
      <xdr:colOff>104775</xdr:colOff>
      <xdr:row>1</xdr:row>
      <xdr:rowOff>676275</xdr:rowOff>
    </xdr:to>
    <xdr:grpSp>
      <xdr:nvGrpSpPr>
        <xdr:cNvPr id="4" name="组合 3"/>
        <xdr:cNvGrpSpPr/>
      </xdr:nvGrpSpPr>
      <xdr:grpSpPr>
        <a:xfrm>
          <a:off x="2276475" y="581025"/>
          <a:ext cx="504825" cy="581025"/>
          <a:chOff x="1862138" y="2016125"/>
          <a:chExt cx="452438" cy="531813"/>
        </a:xfrm>
        <a:solidFill>
          <a:srgbClr val="00B0F0"/>
        </a:solidFill>
      </xdr:grpSpPr>
      <xdr:sp>
        <xdr:nvSpPr>
          <xdr:cNvPr id="5" name="Freeform 43"/>
          <xdr:cNvSpPr/>
        </xdr:nvSpPr>
        <xdr:spPr>
          <a:xfrm>
            <a:off x="1889126" y="2016125"/>
            <a:ext cx="425450" cy="458788"/>
          </a:xfrm>
          <a:custGeom>
            <a:avLst/>
            <a:gdLst>
              <a:gd name="T0" fmla="*/ 65 w 156"/>
              <a:gd name="T1" fmla="*/ 168 h 168"/>
              <a:gd name="T2" fmla="*/ 2 w 156"/>
              <a:gd name="T3" fmla="*/ 142 h 168"/>
              <a:gd name="T4" fmla="*/ 2 w 156"/>
              <a:gd name="T5" fmla="*/ 137 h 168"/>
              <a:gd name="T6" fmla="*/ 7 w 156"/>
              <a:gd name="T7" fmla="*/ 137 h 168"/>
              <a:gd name="T8" fmla="*/ 65 w 156"/>
              <a:gd name="T9" fmla="*/ 160 h 168"/>
              <a:gd name="T10" fmla="*/ 148 w 156"/>
              <a:gd name="T11" fmla="*/ 77 h 168"/>
              <a:gd name="T12" fmla="*/ 111 w 156"/>
              <a:gd name="T13" fmla="*/ 8 h 168"/>
              <a:gd name="T14" fmla="*/ 110 w 156"/>
              <a:gd name="T15" fmla="*/ 2 h 168"/>
              <a:gd name="T16" fmla="*/ 116 w 156"/>
              <a:gd name="T17" fmla="*/ 1 h 168"/>
              <a:gd name="T18" fmla="*/ 156 w 156"/>
              <a:gd name="T19" fmla="*/ 77 h 168"/>
              <a:gd name="T20" fmla="*/ 65 w 156"/>
              <a:gd name="T21" fmla="*/ 168 h 16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56" h="168">
                <a:moveTo>
                  <a:pt x="65" y="168"/>
                </a:moveTo>
                <a:cubicBezTo>
                  <a:pt x="41" y="168"/>
                  <a:pt x="19" y="159"/>
                  <a:pt x="2" y="142"/>
                </a:cubicBezTo>
                <a:cubicBezTo>
                  <a:pt x="0" y="141"/>
                  <a:pt x="0" y="138"/>
                  <a:pt x="2" y="137"/>
                </a:cubicBezTo>
                <a:cubicBezTo>
                  <a:pt x="3" y="135"/>
                  <a:pt x="6" y="135"/>
                  <a:pt x="7" y="137"/>
                </a:cubicBezTo>
                <a:cubicBezTo>
                  <a:pt x="23" y="152"/>
                  <a:pt x="43" y="160"/>
                  <a:pt x="65" y="160"/>
                </a:cubicBezTo>
                <a:cubicBezTo>
                  <a:pt x="111" y="160"/>
                  <a:pt x="148" y="123"/>
                  <a:pt x="148" y="77"/>
                </a:cubicBezTo>
                <a:cubicBezTo>
                  <a:pt x="148" y="49"/>
                  <a:pt x="134" y="23"/>
                  <a:pt x="111" y="8"/>
                </a:cubicBezTo>
                <a:cubicBezTo>
                  <a:pt x="109" y="7"/>
                  <a:pt x="109" y="4"/>
                  <a:pt x="110" y="2"/>
                </a:cubicBezTo>
                <a:cubicBezTo>
                  <a:pt x="111" y="1"/>
                  <a:pt x="114" y="0"/>
                  <a:pt x="116" y="1"/>
                </a:cubicBezTo>
                <a:cubicBezTo>
                  <a:pt x="141" y="18"/>
                  <a:pt x="156" y="47"/>
                  <a:pt x="156" y="77"/>
                </a:cubicBezTo>
                <a:cubicBezTo>
                  <a:pt x="156" y="127"/>
                  <a:pt x="115" y="168"/>
                  <a:pt x="65" y="168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6" name="Freeform 44"/>
          <xdr:cNvSpPr/>
        </xdr:nvSpPr>
        <xdr:spPr>
          <a:xfrm>
            <a:off x="2055813" y="2452688"/>
            <a:ext cx="22225" cy="95250"/>
          </a:xfrm>
          <a:custGeom>
            <a:avLst/>
            <a:gdLst>
              <a:gd name="T0" fmla="*/ 4 w 8"/>
              <a:gd name="T1" fmla="*/ 35 h 35"/>
              <a:gd name="T2" fmla="*/ 0 w 8"/>
              <a:gd name="T3" fmla="*/ 31 h 35"/>
              <a:gd name="T4" fmla="*/ 0 w 8"/>
              <a:gd name="T5" fmla="*/ 4 h 35"/>
              <a:gd name="T6" fmla="*/ 4 w 8"/>
              <a:gd name="T7" fmla="*/ 0 h 35"/>
              <a:gd name="T8" fmla="*/ 8 w 8"/>
              <a:gd name="T9" fmla="*/ 4 h 35"/>
              <a:gd name="T10" fmla="*/ 8 w 8"/>
              <a:gd name="T11" fmla="*/ 31 h 35"/>
              <a:gd name="T12" fmla="*/ 4 w 8"/>
              <a:gd name="T13" fmla="*/ 35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8" h="35">
                <a:moveTo>
                  <a:pt x="4" y="35"/>
                </a:moveTo>
                <a:cubicBezTo>
                  <a:pt x="2" y="35"/>
                  <a:pt x="0" y="33"/>
                  <a:pt x="0" y="31"/>
                </a:cubicBezTo>
                <a:cubicBezTo>
                  <a:pt x="0" y="4"/>
                  <a:pt x="0" y="4"/>
                  <a:pt x="0" y="4"/>
                </a:cubicBezTo>
                <a:cubicBezTo>
                  <a:pt x="0" y="2"/>
                  <a:pt x="2" y="0"/>
                  <a:pt x="4" y="0"/>
                </a:cubicBezTo>
                <a:cubicBezTo>
                  <a:pt x="6" y="0"/>
                  <a:pt x="8" y="2"/>
                  <a:pt x="8" y="4"/>
                </a:cubicBezTo>
                <a:cubicBezTo>
                  <a:pt x="8" y="31"/>
                  <a:pt x="8" y="31"/>
                  <a:pt x="8" y="31"/>
                </a:cubicBezTo>
                <a:cubicBezTo>
                  <a:pt x="8" y="33"/>
                  <a:pt x="6" y="35"/>
                  <a:pt x="4" y="35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7" name="Freeform 45"/>
          <xdr:cNvSpPr/>
        </xdr:nvSpPr>
        <xdr:spPr>
          <a:xfrm>
            <a:off x="1960563" y="2525713"/>
            <a:ext cx="212725" cy="22225"/>
          </a:xfrm>
          <a:custGeom>
            <a:avLst/>
            <a:gdLst>
              <a:gd name="T0" fmla="*/ 74 w 78"/>
              <a:gd name="T1" fmla="*/ 8 h 8"/>
              <a:gd name="T2" fmla="*/ 4 w 78"/>
              <a:gd name="T3" fmla="*/ 8 h 8"/>
              <a:gd name="T4" fmla="*/ 0 w 78"/>
              <a:gd name="T5" fmla="*/ 4 h 8"/>
              <a:gd name="T6" fmla="*/ 4 w 78"/>
              <a:gd name="T7" fmla="*/ 0 h 8"/>
              <a:gd name="T8" fmla="*/ 74 w 78"/>
              <a:gd name="T9" fmla="*/ 0 h 8"/>
              <a:gd name="T10" fmla="*/ 78 w 78"/>
              <a:gd name="T11" fmla="*/ 4 h 8"/>
              <a:gd name="T12" fmla="*/ 74 w 78"/>
              <a:gd name="T13" fmla="*/ 8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78" h="8">
                <a:moveTo>
                  <a:pt x="74" y="8"/>
                </a:moveTo>
                <a:cubicBezTo>
                  <a:pt x="4" y="8"/>
                  <a:pt x="4" y="8"/>
                  <a:pt x="4" y="8"/>
                </a:cubicBezTo>
                <a:cubicBezTo>
                  <a:pt x="2" y="8"/>
                  <a:pt x="0" y="6"/>
                  <a:pt x="0" y="4"/>
                </a:cubicBezTo>
                <a:cubicBezTo>
                  <a:pt x="0" y="1"/>
                  <a:pt x="2" y="0"/>
                  <a:pt x="4" y="0"/>
                </a:cubicBezTo>
                <a:cubicBezTo>
                  <a:pt x="74" y="0"/>
                  <a:pt x="74" y="0"/>
                  <a:pt x="74" y="0"/>
                </a:cubicBezTo>
                <a:cubicBezTo>
                  <a:pt x="77" y="0"/>
                  <a:pt x="78" y="1"/>
                  <a:pt x="78" y="4"/>
                </a:cubicBezTo>
                <a:cubicBezTo>
                  <a:pt x="78" y="6"/>
                  <a:pt x="77" y="8"/>
                  <a:pt x="74" y="8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8" name="Freeform 46"/>
          <xdr:cNvSpPr/>
        </xdr:nvSpPr>
        <xdr:spPr>
          <a:xfrm>
            <a:off x="1862138" y="2239963"/>
            <a:ext cx="65088" cy="71438"/>
          </a:xfrm>
          <a:custGeom>
            <a:avLst/>
            <a:gdLst>
              <a:gd name="T0" fmla="*/ 0 w 24"/>
              <a:gd name="T1" fmla="*/ 0 h 26"/>
              <a:gd name="T2" fmla="*/ 21 w 24"/>
              <a:gd name="T3" fmla="*/ 0 h 26"/>
              <a:gd name="T4" fmla="*/ 24 w 24"/>
              <a:gd name="T5" fmla="*/ 26 h 26"/>
              <a:gd name="T6" fmla="*/ 7 w 24"/>
              <a:gd name="T7" fmla="*/ 26 h 26"/>
              <a:gd name="T8" fmla="*/ 0 w 24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4" h="26">
                <a:moveTo>
                  <a:pt x="0" y="0"/>
                </a:moveTo>
                <a:cubicBezTo>
                  <a:pt x="21" y="0"/>
                  <a:pt x="21" y="0"/>
                  <a:pt x="21" y="0"/>
                </a:cubicBezTo>
                <a:cubicBezTo>
                  <a:pt x="21" y="9"/>
                  <a:pt x="22" y="18"/>
                  <a:pt x="24" y="26"/>
                </a:cubicBezTo>
                <a:cubicBezTo>
                  <a:pt x="7" y="26"/>
                  <a:pt x="7" y="26"/>
                  <a:pt x="7" y="26"/>
                </a:cubicBezTo>
                <a:cubicBezTo>
                  <a:pt x="3" y="18"/>
                  <a:pt x="1" y="9"/>
                  <a:pt x="0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9" name="Freeform 47"/>
          <xdr:cNvSpPr/>
        </xdr:nvSpPr>
        <xdr:spPr>
          <a:xfrm>
            <a:off x="1862138" y="2141538"/>
            <a:ext cx="65088" cy="71438"/>
          </a:xfrm>
          <a:custGeom>
            <a:avLst/>
            <a:gdLst>
              <a:gd name="T0" fmla="*/ 7 w 24"/>
              <a:gd name="T1" fmla="*/ 0 h 26"/>
              <a:gd name="T2" fmla="*/ 24 w 24"/>
              <a:gd name="T3" fmla="*/ 0 h 26"/>
              <a:gd name="T4" fmla="*/ 21 w 24"/>
              <a:gd name="T5" fmla="*/ 26 h 26"/>
              <a:gd name="T6" fmla="*/ 0 w 24"/>
              <a:gd name="T7" fmla="*/ 26 h 26"/>
              <a:gd name="T8" fmla="*/ 7 w 24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4" h="26">
                <a:moveTo>
                  <a:pt x="7" y="0"/>
                </a:moveTo>
                <a:cubicBezTo>
                  <a:pt x="24" y="0"/>
                  <a:pt x="24" y="0"/>
                  <a:pt x="24" y="0"/>
                </a:cubicBezTo>
                <a:cubicBezTo>
                  <a:pt x="22" y="8"/>
                  <a:pt x="21" y="17"/>
                  <a:pt x="21" y="26"/>
                </a:cubicBezTo>
                <a:cubicBezTo>
                  <a:pt x="0" y="26"/>
                  <a:pt x="0" y="26"/>
                  <a:pt x="0" y="26"/>
                </a:cubicBezTo>
                <a:cubicBezTo>
                  <a:pt x="1" y="17"/>
                  <a:pt x="3" y="8"/>
                  <a:pt x="7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0" name="Freeform 48"/>
          <xdr:cNvSpPr/>
        </xdr:nvSpPr>
        <xdr:spPr>
          <a:xfrm>
            <a:off x="2205038" y="2141538"/>
            <a:ext cx="66675" cy="71438"/>
          </a:xfrm>
          <a:custGeom>
            <a:avLst/>
            <a:gdLst>
              <a:gd name="T0" fmla="*/ 24 w 24"/>
              <a:gd name="T1" fmla="*/ 26 h 26"/>
              <a:gd name="T2" fmla="*/ 4 w 24"/>
              <a:gd name="T3" fmla="*/ 26 h 26"/>
              <a:gd name="T4" fmla="*/ 0 w 24"/>
              <a:gd name="T5" fmla="*/ 0 h 26"/>
              <a:gd name="T6" fmla="*/ 18 w 24"/>
              <a:gd name="T7" fmla="*/ 0 h 26"/>
              <a:gd name="T8" fmla="*/ 24 w 24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4" h="26">
                <a:moveTo>
                  <a:pt x="24" y="26"/>
                </a:moveTo>
                <a:cubicBezTo>
                  <a:pt x="4" y="26"/>
                  <a:pt x="4" y="26"/>
                  <a:pt x="4" y="26"/>
                </a:cubicBezTo>
                <a:cubicBezTo>
                  <a:pt x="3" y="17"/>
                  <a:pt x="2" y="8"/>
                  <a:pt x="0" y="0"/>
                </a:cubicBezTo>
                <a:cubicBezTo>
                  <a:pt x="18" y="0"/>
                  <a:pt x="18" y="0"/>
                  <a:pt x="18" y="0"/>
                </a:cubicBezTo>
                <a:cubicBezTo>
                  <a:pt x="21" y="8"/>
                  <a:pt x="24" y="17"/>
                  <a:pt x="24" y="26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1" name="Freeform 49"/>
          <xdr:cNvSpPr/>
        </xdr:nvSpPr>
        <xdr:spPr>
          <a:xfrm>
            <a:off x="2128838" y="2141538"/>
            <a:ext cx="63500" cy="71438"/>
          </a:xfrm>
          <a:custGeom>
            <a:avLst/>
            <a:gdLst>
              <a:gd name="T0" fmla="*/ 23 w 23"/>
              <a:gd name="T1" fmla="*/ 26 h 26"/>
              <a:gd name="T2" fmla="*/ 1 w 23"/>
              <a:gd name="T3" fmla="*/ 26 h 26"/>
              <a:gd name="T4" fmla="*/ 0 w 23"/>
              <a:gd name="T5" fmla="*/ 0 h 26"/>
              <a:gd name="T6" fmla="*/ 19 w 23"/>
              <a:gd name="T7" fmla="*/ 0 h 26"/>
              <a:gd name="T8" fmla="*/ 23 w 23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3" h="26">
                <a:moveTo>
                  <a:pt x="23" y="26"/>
                </a:moveTo>
                <a:cubicBezTo>
                  <a:pt x="1" y="26"/>
                  <a:pt x="1" y="26"/>
                  <a:pt x="1" y="26"/>
                </a:cubicBezTo>
                <a:cubicBezTo>
                  <a:pt x="1" y="19"/>
                  <a:pt x="1" y="9"/>
                  <a:pt x="0" y="0"/>
                </a:cubicBezTo>
                <a:cubicBezTo>
                  <a:pt x="19" y="0"/>
                  <a:pt x="19" y="0"/>
                  <a:pt x="19" y="0"/>
                </a:cubicBezTo>
                <a:cubicBezTo>
                  <a:pt x="21" y="8"/>
                  <a:pt x="22" y="17"/>
                  <a:pt x="23" y="26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2" name="Freeform 50"/>
          <xdr:cNvSpPr/>
        </xdr:nvSpPr>
        <xdr:spPr>
          <a:xfrm>
            <a:off x="2025651" y="2141538"/>
            <a:ext cx="82550" cy="71438"/>
          </a:xfrm>
          <a:custGeom>
            <a:avLst/>
            <a:gdLst>
              <a:gd name="T0" fmla="*/ 0 w 30"/>
              <a:gd name="T1" fmla="*/ 26 h 26"/>
              <a:gd name="T2" fmla="*/ 2 w 30"/>
              <a:gd name="T3" fmla="*/ 0 h 26"/>
              <a:gd name="T4" fmla="*/ 29 w 30"/>
              <a:gd name="T5" fmla="*/ 0 h 26"/>
              <a:gd name="T6" fmla="*/ 30 w 30"/>
              <a:gd name="T7" fmla="*/ 26 h 26"/>
              <a:gd name="T8" fmla="*/ 0 w 30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0" h="26">
                <a:moveTo>
                  <a:pt x="0" y="26"/>
                </a:moveTo>
                <a:cubicBezTo>
                  <a:pt x="0" y="17"/>
                  <a:pt x="1" y="8"/>
                  <a:pt x="2" y="0"/>
                </a:cubicBezTo>
                <a:cubicBezTo>
                  <a:pt x="29" y="0"/>
                  <a:pt x="29" y="0"/>
                  <a:pt x="29" y="0"/>
                </a:cubicBezTo>
                <a:cubicBezTo>
                  <a:pt x="29" y="8"/>
                  <a:pt x="30" y="17"/>
                  <a:pt x="30" y="26"/>
                </a:cubicBezTo>
                <a:lnTo>
                  <a:pt x="0" y="26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3" name="Freeform 51"/>
          <xdr:cNvSpPr/>
        </xdr:nvSpPr>
        <xdr:spPr>
          <a:xfrm>
            <a:off x="2025651" y="2239963"/>
            <a:ext cx="82550" cy="71438"/>
          </a:xfrm>
          <a:custGeom>
            <a:avLst/>
            <a:gdLst>
              <a:gd name="T0" fmla="*/ 30 w 30"/>
              <a:gd name="T1" fmla="*/ 0 h 26"/>
              <a:gd name="T2" fmla="*/ 29 w 30"/>
              <a:gd name="T3" fmla="*/ 26 h 26"/>
              <a:gd name="T4" fmla="*/ 2 w 30"/>
              <a:gd name="T5" fmla="*/ 26 h 26"/>
              <a:gd name="T6" fmla="*/ 0 w 30"/>
              <a:gd name="T7" fmla="*/ 0 h 26"/>
              <a:gd name="T8" fmla="*/ 30 w 30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0" h="26">
                <a:moveTo>
                  <a:pt x="30" y="0"/>
                </a:moveTo>
                <a:cubicBezTo>
                  <a:pt x="30" y="9"/>
                  <a:pt x="29" y="18"/>
                  <a:pt x="29" y="26"/>
                </a:cubicBezTo>
                <a:cubicBezTo>
                  <a:pt x="2" y="26"/>
                  <a:pt x="2" y="26"/>
                  <a:pt x="2" y="26"/>
                </a:cubicBezTo>
                <a:cubicBezTo>
                  <a:pt x="1" y="18"/>
                  <a:pt x="0" y="9"/>
                  <a:pt x="0" y="0"/>
                </a:cubicBezTo>
                <a:lnTo>
                  <a:pt x="30" y="0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4" name="Freeform 52"/>
          <xdr:cNvSpPr/>
        </xdr:nvSpPr>
        <xdr:spPr>
          <a:xfrm>
            <a:off x="2105026" y="2030413"/>
            <a:ext cx="68263" cy="87313"/>
          </a:xfrm>
          <a:custGeom>
            <a:avLst/>
            <a:gdLst>
              <a:gd name="T0" fmla="*/ 8 w 25"/>
              <a:gd name="T1" fmla="*/ 32 h 32"/>
              <a:gd name="T2" fmla="*/ 0 w 25"/>
              <a:gd name="T3" fmla="*/ 0 h 32"/>
              <a:gd name="T4" fmla="*/ 25 w 25"/>
              <a:gd name="T5" fmla="*/ 32 h 32"/>
              <a:gd name="T6" fmla="*/ 8 w 25"/>
              <a:gd name="T7" fmla="*/ 32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5" h="32">
                <a:moveTo>
                  <a:pt x="8" y="32"/>
                </a:moveTo>
                <a:cubicBezTo>
                  <a:pt x="6" y="20"/>
                  <a:pt x="3" y="8"/>
                  <a:pt x="0" y="0"/>
                </a:cubicBezTo>
                <a:cubicBezTo>
                  <a:pt x="10" y="5"/>
                  <a:pt x="19" y="17"/>
                  <a:pt x="25" y="32"/>
                </a:cubicBezTo>
                <a:lnTo>
                  <a:pt x="8" y="3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5" name="Freeform 53"/>
          <xdr:cNvSpPr/>
        </xdr:nvSpPr>
        <xdr:spPr>
          <a:xfrm>
            <a:off x="2033588" y="2022475"/>
            <a:ext cx="65088" cy="95250"/>
          </a:xfrm>
          <a:custGeom>
            <a:avLst/>
            <a:gdLst>
              <a:gd name="T0" fmla="*/ 24 w 24"/>
              <a:gd name="T1" fmla="*/ 35 h 35"/>
              <a:gd name="T2" fmla="*/ 0 w 24"/>
              <a:gd name="T3" fmla="*/ 35 h 35"/>
              <a:gd name="T4" fmla="*/ 12 w 24"/>
              <a:gd name="T5" fmla="*/ 0 h 35"/>
              <a:gd name="T6" fmla="*/ 24 w 24"/>
              <a:gd name="T7" fmla="*/ 35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4" h="35">
                <a:moveTo>
                  <a:pt x="24" y="35"/>
                </a:moveTo>
                <a:cubicBezTo>
                  <a:pt x="0" y="35"/>
                  <a:pt x="0" y="35"/>
                  <a:pt x="0" y="35"/>
                </a:cubicBezTo>
                <a:cubicBezTo>
                  <a:pt x="3" y="12"/>
                  <a:pt x="9" y="0"/>
                  <a:pt x="12" y="0"/>
                </a:cubicBezTo>
                <a:cubicBezTo>
                  <a:pt x="15" y="0"/>
                  <a:pt x="21" y="12"/>
                  <a:pt x="24" y="35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6" name="Freeform 54"/>
          <xdr:cNvSpPr/>
        </xdr:nvSpPr>
        <xdr:spPr>
          <a:xfrm>
            <a:off x="1963738" y="2030413"/>
            <a:ext cx="66675" cy="87313"/>
          </a:xfrm>
          <a:custGeom>
            <a:avLst/>
            <a:gdLst>
              <a:gd name="T0" fmla="*/ 25 w 25"/>
              <a:gd name="T1" fmla="*/ 0 h 32"/>
              <a:gd name="T2" fmla="*/ 17 w 25"/>
              <a:gd name="T3" fmla="*/ 32 h 32"/>
              <a:gd name="T4" fmla="*/ 0 w 25"/>
              <a:gd name="T5" fmla="*/ 32 h 32"/>
              <a:gd name="T6" fmla="*/ 25 w 25"/>
              <a:gd name="T7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5" h="32">
                <a:moveTo>
                  <a:pt x="25" y="0"/>
                </a:moveTo>
                <a:cubicBezTo>
                  <a:pt x="21" y="8"/>
                  <a:pt x="19" y="20"/>
                  <a:pt x="17" y="32"/>
                </a:cubicBezTo>
                <a:cubicBezTo>
                  <a:pt x="0" y="32"/>
                  <a:pt x="0" y="32"/>
                  <a:pt x="0" y="32"/>
                </a:cubicBezTo>
                <a:cubicBezTo>
                  <a:pt x="5" y="17"/>
                  <a:pt x="14" y="5"/>
                  <a:pt x="25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7" name="Freeform 55"/>
          <xdr:cNvSpPr/>
        </xdr:nvSpPr>
        <xdr:spPr>
          <a:xfrm>
            <a:off x="1944688" y="2141538"/>
            <a:ext cx="61913" cy="71438"/>
          </a:xfrm>
          <a:custGeom>
            <a:avLst/>
            <a:gdLst>
              <a:gd name="T0" fmla="*/ 23 w 23"/>
              <a:gd name="T1" fmla="*/ 0 h 26"/>
              <a:gd name="T2" fmla="*/ 21 w 23"/>
              <a:gd name="T3" fmla="*/ 26 h 26"/>
              <a:gd name="T4" fmla="*/ 0 w 23"/>
              <a:gd name="T5" fmla="*/ 26 h 26"/>
              <a:gd name="T6" fmla="*/ 4 w 23"/>
              <a:gd name="T7" fmla="*/ 0 h 26"/>
              <a:gd name="T8" fmla="*/ 23 w 23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3" h="26">
                <a:moveTo>
                  <a:pt x="23" y="0"/>
                </a:moveTo>
                <a:cubicBezTo>
                  <a:pt x="22" y="9"/>
                  <a:pt x="21" y="19"/>
                  <a:pt x="21" y="26"/>
                </a:cubicBezTo>
                <a:cubicBezTo>
                  <a:pt x="0" y="26"/>
                  <a:pt x="0" y="26"/>
                  <a:pt x="0" y="26"/>
                </a:cubicBezTo>
                <a:cubicBezTo>
                  <a:pt x="0" y="17"/>
                  <a:pt x="1" y="8"/>
                  <a:pt x="4" y="0"/>
                </a:cubicBezTo>
                <a:lnTo>
                  <a:pt x="23" y="0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8" name="Freeform 56"/>
          <xdr:cNvSpPr/>
        </xdr:nvSpPr>
        <xdr:spPr>
          <a:xfrm>
            <a:off x="1944688" y="2239963"/>
            <a:ext cx="61913" cy="71438"/>
          </a:xfrm>
          <a:custGeom>
            <a:avLst/>
            <a:gdLst>
              <a:gd name="T0" fmla="*/ 0 w 23"/>
              <a:gd name="T1" fmla="*/ 0 h 26"/>
              <a:gd name="T2" fmla="*/ 21 w 23"/>
              <a:gd name="T3" fmla="*/ 0 h 26"/>
              <a:gd name="T4" fmla="*/ 23 w 23"/>
              <a:gd name="T5" fmla="*/ 26 h 26"/>
              <a:gd name="T6" fmla="*/ 4 w 23"/>
              <a:gd name="T7" fmla="*/ 26 h 26"/>
              <a:gd name="T8" fmla="*/ 0 w 23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3" h="26">
                <a:moveTo>
                  <a:pt x="0" y="0"/>
                </a:moveTo>
                <a:cubicBezTo>
                  <a:pt x="21" y="0"/>
                  <a:pt x="21" y="0"/>
                  <a:pt x="21" y="0"/>
                </a:cubicBezTo>
                <a:cubicBezTo>
                  <a:pt x="21" y="7"/>
                  <a:pt x="22" y="17"/>
                  <a:pt x="23" y="26"/>
                </a:cubicBezTo>
                <a:cubicBezTo>
                  <a:pt x="4" y="26"/>
                  <a:pt x="4" y="26"/>
                  <a:pt x="4" y="26"/>
                </a:cubicBezTo>
                <a:cubicBezTo>
                  <a:pt x="1" y="18"/>
                  <a:pt x="0" y="9"/>
                  <a:pt x="0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19" name="Freeform 57"/>
          <xdr:cNvSpPr/>
        </xdr:nvSpPr>
        <xdr:spPr>
          <a:xfrm>
            <a:off x="1963738" y="2335213"/>
            <a:ext cx="66675" cy="87313"/>
          </a:xfrm>
          <a:custGeom>
            <a:avLst/>
            <a:gdLst>
              <a:gd name="T0" fmla="*/ 17 w 25"/>
              <a:gd name="T1" fmla="*/ 0 h 32"/>
              <a:gd name="T2" fmla="*/ 25 w 25"/>
              <a:gd name="T3" fmla="*/ 32 h 32"/>
              <a:gd name="T4" fmla="*/ 0 w 25"/>
              <a:gd name="T5" fmla="*/ 0 h 32"/>
              <a:gd name="T6" fmla="*/ 17 w 25"/>
              <a:gd name="T7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5" h="32">
                <a:moveTo>
                  <a:pt x="17" y="0"/>
                </a:moveTo>
                <a:cubicBezTo>
                  <a:pt x="19" y="12"/>
                  <a:pt x="21" y="24"/>
                  <a:pt x="25" y="32"/>
                </a:cubicBezTo>
                <a:cubicBezTo>
                  <a:pt x="14" y="27"/>
                  <a:pt x="5" y="15"/>
                  <a:pt x="0" y="0"/>
                </a:cubicBezTo>
                <a:lnTo>
                  <a:pt x="17" y="0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20" name="Freeform 58"/>
          <xdr:cNvSpPr/>
        </xdr:nvSpPr>
        <xdr:spPr>
          <a:xfrm>
            <a:off x="2033588" y="2335213"/>
            <a:ext cx="65088" cy="95250"/>
          </a:xfrm>
          <a:custGeom>
            <a:avLst/>
            <a:gdLst>
              <a:gd name="T0" fmla="*/ 0 w 24"/>
              <a:gd name="T1" fmla="*/ 0 h 35"/>
              <a:gd name="T2" fmla="*/ 24 w 24"/>
              <a:gd name="T3" fmla="*/ 0 h 35"/>
              <a:gd name="T4" fmla="*/ 12 w 24"/>
              <a:gd name="T5" fmla="*/ 35 h 35"/>
              <a:gd name="T6" fmla="*/ 0 w 24"/>
              <a:gd name="T7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4" h="35">
                <a:moveTo>
                  <a:pt x="0" y="0"/>
                </a:moveTo>
                <a:cubicBezTo>
                  <a:pt x="24" y="0"/>
                  <a:pt x="24" y="0"/>
                  <a:pt x="24" y="0"/>
                </a:cubicBezTo>
                <a:cubicBezTo>
                  <a:pt x="21" y="23"/>
                  <a:pt x="15" y="35"/>
                  <a:pt x="12" y="35"/>
                </a:cubicBezTo>
                <a:cubicBezTo>
                  <a:pt x="9" y="35"/>
                  <a:pt x="3" y="23"/>
                  <a:pt x="0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21" name="Freeform 59"/>
          <xdr:cNvSpPr/>
        </xdr:nvSpPr>
        <xdr:spPr>
          <a:xfrm>
            <a:off x="2105026" y="2335213"/>
            <a:ext cx="68263" cy="87313"/>
          </a:xfrm>
          <a:custGeom>
            <a:avLst/>
            <a:gdLst>
              <a:gd name="T0" fmla="*/ 0 w 25"/>
              <a:gd name="T1" fmla="*/ 32 h 32"/>
              <a:gd name="T2" fmla="*/ 8 w 25"/>
              <a:gd name="T3" fmla="*/ 0 h 32"/>
              <a:gd name="T4" fmla="*/ 25 w 25"/>
              <a:gd name="T5" fmla="*/ 0 h 32"/>
              <a:gd name="T6" fmla="*/ 0 w 25"/>
              <a:gd name="T7" fmla="*/ 32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5" h="32">
                <a:moveTo>
                  <a:pt x="0" y="32"/>
                </a:moveTo>
                <a:cubicBezTo>
                  <a:pt x="3" y="24"/>
                  <a:pt x="6" y="12"/>
                  <a:pt x="8" y="0"/>
                </a:cubicBezTo>
                <a:cubicBezTo>
                  <a:pt x="25" y="0"/>
                  <a:pt x="25" y="0"/>
                  <a:pt x="25" y="0"/>
                </a:cubicBezTo>
                <a:cubicBezTo>
                  <a:pt x="19" y="15"/>
                  <a:pt x="10" y="27"/>
                  <a:pt x="0" y="32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22" name="Freeform 60"/>
          <xdr:cNvSpPr/>
        </xdr:nvSpPr>
        <xdr:spPr>
          <a:xfrm>
            <a:off x="2128838" y="2239963"/>
            <a:ext cx="63500" cy="71438"/>
          </a:xfrm>
          <a:custGeom>
            <a:avLst/>
            <a:gdLst>
              <a:gd name="T0" fmla="*/ 0 w 23"/>
              <a:gd name="T1" fmla="*/ 26 h 26"/>
              <a:gd name="T2" fmla="*/ 1 w 23"/>
              <a:gd name="T3" fmla="*/ 0 h 26"/>
              <a:gd name="T4" fmla="*/ 23 w 23"/>
              <a:gd name="T5" fmla="*/ 0 h 26"/>
              <a:gd name="T6" fmla="*/ 19 w 23"/>
              <a:gd name="T7" fmla="*/ 26 h 26"/>
              <a:gd name="T8" fmla="*/ 0 w 23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3" h="26">
                <a:moveTo>
                  <a:pt x="0" y="26"/>
                </a:moveTo>
                <a:cubicBezTo>
                  <a:pt x="1" y="17"/>
                  <a:pt x="1" y="7"/>
                  <a:pt x="1" y="0"/>
                </a:cubicBezTo>
                <a:cubicBezTo>
                  <a:pt x="23" y="0"/>
                  <a:pt x="23" y="0"/>
                  <a:pt x="23" y="0"/>
                </a:cubicBezTo>
                <a:cubicBezTo>
                  <a:pt x="22" y="9"/>
                  <a:pt x="21" y="18"/>
                  <a:pt x="19" y="26"/>
                </a:cubicBezTo>
                <a:lnTo>
                  <a:pt x="0" y="26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23" name="Freeform 61"/>
          <xdr:cNvSpPr/>
        </xdr:nvSpPr>
        <xdr:spPr>
          <a:xfrm>
            <a:off x="2205038" y="2239963"/>
            <a:ext cx="66675" cy="71438"/>
          </a:xfrm>
          <a:custGeom>
            <a:avLst/>
            <a:gdLst>
              <a:gd name="T0" fmla="*/ 4 w 24"/>
              <a:gd name="T1" fmla="*/ 0 h 26"/>
              <a:gd name="T2" fmla="*/ 24 w 24"/>
              <a:gd name="T3" fmla="*/ 0 h 26"/>
              <a:gd name="T4" fmla="*/ 18 w 24"/>
              <a:gd name="T5" fmla="*/ 26 h 26"/>
              <a:gd name="T6" fmla="*/ 0 w 24"/>
              <a:gd name="T7" fmla="*/ 26 h 26"/>
              <a:gd name="T8" fmla="*/ 4 w 24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4" h="26">
                <a:moveTo>
                  <a:pt x="4" y="0"/>
                </a:moveTo>
                <a:cubicBezTo>
                  <a:pt x="24" y="0"/>
                  <a:pt x="24" y="0"/>
                  <a:pt x="24" y="0"/>
                </a:cubicBezTo>
                <a:cubicBezTo>
                  <a:pt x="24" y="9"/>
                  <a:pt x="21" y="18"/>
                  <a:pt x="18" y="26"/>
                </a:cubicBezTo>
                <a:cubicBezTo>
                  <a:pt x="0" y="26"/>
                  <a:pt x="0" y="26"/>
                  <a:pt x="0" y="26"/>
                </a:cubicBezTo>
                <a:cubicBezTo>
                  <a:pt x="2" y="18"/>
                  <a:pt x="3" y="9"/>
                  <a:pt x="4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24" name="Freeform 62"/>
          <xdr:cNvSpPr/>
        </xdr:nvSpPr>
        <xdr:spPr>
          <a:xfrm>
            <a:off x="2155826" y="2041525"/>
            <a:ext cx="85725" cy="76200"/>
          </a:xfrm>
          <a:custGeom>
            <a:avLst/>
            <a:gdLst>
              <a:gd name="T0" fmla="*/ 31 w 31"/>
              <a:gd name="T1" fmla="*/ 28 h 28"/>
              <a:gd name="T2" fmla="*/ 15 w 31"/>
              <a:gd name="T3" fmla="*/ 28 h 28"/>
              <a:gd name="T4" fmla="*/ 0 w 31"/>
              <a:gd name="T5" fmla="*/ 0 h 28"/>
              <a:gd name="T6" fmla="*/ 31 w 31"/>
              <a:gd name="T7" fmla="*/ 28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1" h="28">
                <a:moveTo>
                  <a:pt x="31" y="28"/>
                </a:moveTo>
                <a:cubicBezTo>
                  <a:pt x="15" y="28"/>
                  <a:pt x="15" y="28"/>
                  <a:pt x="15" y="28"/>
                </a:cubicBezTo>
                <a:cubicBezTo>
                  <a:pt x="11" y="17"/>
                  <a:pt x="6" y="7"/>
                  <a:pt x="0" y="0"/>
                </a:cubicBezTo>
                <a:cubicBezTo>
                  <a:pt x="12" y="6"/>
                  <a:pt x="23" y="16"/>
                  <a:pt x="31" y="28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25" name="Freeform 63"/>
          <xdr:cNvSpPr/>
        </xdr:nvSpPr>
        <xdr:spPr>
          <a:xfrm>
            <a:off x="1895476" y="2041525"/>
            <a:ext cx="84138" cy="76200"/>
          </a:xfrm>
          <a:custGeom>
            <a:avLst/>
            <a:gdLst>
              <a:gd name="T0" fmla="*/ 31 w 31"/>
              <a:gd name="T1" fmla="*/ 0 h 28"/>
              <a:gd name="T2" fmla="*/ 15 w 31"/>
              <a:gd name="T3" fmla="*/ 28 h 28"/>
              <a:gd name="T4" fmla="*/ 0 w 31"/>
              <a:gd name="T5" fmla="*/ 28 h 28"/>
              <a:gd name="T6" fmla="*/ 31 w 31"/>
              <a:gd name="T7" fmla="*/ 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1" h="28">
                <a:moveTo>
                  <a:pt x="31" y="0"/>
                </a:moveTo>
                <a:cubicBezTo>
                  <a:pt x="24" y="7"/>
                  <a:pt x="19" y="17"/>
                  <a:pt x="15" y="28"/>
                </a:cubicBezTo>
                <a:cubicBezTo>
                  <a:pt x="0" y="28"/>
                  <a:pt x="0" y="28"/>
                  <a:pt x="0" y="28"/>
                </a:cubicBezTo>
                <a:cubicBezTo>
                  <a:pt x="7" y="16"/>
                  <a:pt x="18" y="6"/>
                  <a:pt x="31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26" name="Freeform 64"/>
          <xdr:cNvSpPr/>
        </xdr:nvSpPr>
        <xdr:spPr>
          <a:xfrm>
            <a:off x="1895476" y="2335213"/>
            <a:ext cx="84138" cy="76200"/>
          </a:xfrm>
          <a:custGeom>
            <a:avLst/>
            <a:gdLst>
              <a:gd name="T0" fmla="*/ 0 w 31"/>
              <a:gd name="T1" fmla="*/ 0 h 28"/>
              <a:gd name="T2" fmla="*/ 15 w 31"/>
              <a:gd name="T3" fmla="*/ 0 h 28"/>
              <a:gd name="T4" fmla="*/ 31 w 31"/>
              <a:gd name="T5" fmla="*/ 28 h 28"/>
              <a:gd name="T6" fmla="*/ 0 w 31"/>
              <a:gd name="T7" fmla="*/ 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1" h="28">
                <a:moveTo>
                  <a:pt x="0" y="0"/>
                </a:moveTo>
                <a:cubicBezTo>
                  <a:pt x="15" y="0"/>
                  <a:pt x="15" y="0"/>
                  <a:pt x="15" y="0"/>
                </a:cubicBezTo>
                <a:cubicBezTo>
                  <a:pt x="19" y="11"/>
                  <a:pt x="24" y="21"/>
                  <a:pt x="31" y="28"/>
                </a:cubicBezTo>
                <a:cubicBezTo>
                  <a:pt x="18" y="22"/>
                  <a:pt x="7" y="12"/>
                  <a:pt x="0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27" name="Freeform 65"/>
          <xdr:cNvSpPr/>
        </xdr:nvSpPr>
        <xdr:spPr>
          <a:xfrm>
            <a:off x="2155826" y="2335213"/>
            <a:ext cx="85725" cy="76200"/>
          </a:xfrm>
          <a:custGeom>
            <a:avLst/>
            <a:gdLst>
              <a:gd name="T0" fmla="*/ 0 w 31"/>
              <a:gd name="T1" fmla="*/ 28 h 28"/>
              <a:gd name="T2" fmla="*/ 15 w 31"/>
              <a:gd name="T3" fmla="*/ 0 h 28"/>
              <a:gd name="T4" fmla="*/ 31 w 31"/>
              <a:gd name="T5" fmla="*/ 0 h 28"/>
              <a:gd name="T6" fmla="*/ 0 w 31"/>
              <a:gd name="T7" fmla="*/ 28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1" h="28">
                <a:moveTo>
                  <a:pt x="0" y="28"/>
                </a:moveTo>
                <a:cubicBezTo>
                  <a:pt x="6" y="21"/>
                  <a:pt x="11" y="11"/>
                  <a:pt x="15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23" y="12"/>
                  <a:pt x="12" y="22"/>
                  <a:pt x="0" y="28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</xdr:grpSp>
    <xdr:clientData/>
  </xdr:twoCellAnchor>
  <xdr:twoCellAnchor>
    <xdr:from>
      <xdr:col>1</xdr:col>
      <xdr:colOff>57150</xdr:colOff>
      <xdr:row>12</xdr:row>
      <xdr:rowOff>333375</xdr:rowOff>
    </xdr:from>
    <xdr:to>
      <xdr:col>5</xdr:col>
      <xdr:colOff>561975</xdr:colOff>
      <xdr:row>12</xdr:row>
      <xdr:rowOff>333375</xdr:rowOff>
    </xdr:to>
    <xdr:cxnSp>
      <xdr:nvCxnSpPr>
        <xdr:cNvPr id="53" name="直接连接符 52"/>
        <xdr:cNvCxnSpPr/>
      </xdr:nvCxnSpPr>
      <xdr:spPr>
        <a:xfrm>
          <a:off x="1362075" y="4943475"/>
          <a:ext cx="3248025" cy="0"/>
        </a:xfrm>
        <a:prstGeom prst="line">
          <a:avLst/>
        </a:prstGeom>
        <a:ln w="127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</xdr:colOff>
      <xdr:row>12</xdr:row>
      <xdr:rowOff>333375</xdr:rowOff>
    </xdr:from>
    <xdr:to>
      <xdr:col>10</xdr:col>
      <xdr:colOff>476250</xdr:colOff>
      <xdr:row>14</xdr:row>
      <xdr:rowOff>247650</xdr:rowOff>
    </xdr:to>
    <xdr:sp>
      <xdr:nvSpPr>
        <xdr:cNvPr id="54" name="TextBox 53"/>
        <xdr:cNvSpPr txBox="1"/>
      </xdr:nvSpPr>
      <xdr:spPr>
        <a:xfrm>
          <a:off x="1390650" y="4943475"/>
          <a:ext cx="7058025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华文楷体" panose="02010600040101010101" pitchFamily="2" charset="-122"/>
              <a:ea typeface="华文楷体" panose="02010600040101010101" pitchFamily="2" charset="-122"/>
            </a:rPr>
            <a:t>说明：  </a:t>
          </a:r>
          <a:r>
            <a:rPr lang="en-US" altLang="zh-CN" sz="1100">
              <a:latin typeface="华文楷体" panose="02010600040101010101" pitchFamily="2" charset="-122"/>
              <a:ea typeface="华文楷体" panose="02010600040101010101" pitchFamily="2" charset="-122"/>
            </a:rPr>
            <a:t>1-</a:t>
          </a:r>
          <a:r>
            <a:rPr lang="zh-CN" altLang="en-US" sz="1100">
              <a:latin typeface="华文楷体" panose="02010600040101010101" pitchFamily="2" charset="-122"/>
              <a:ea typeface="华文楷体" panose="02010600040101010101" pitchFamily="2" charset="-122"/>
            </a:rPr>
            <a:t>本系统包括万年历，可以随时调整各年月的日历；</a:t>
          </a:r>
          <a:endParaRPr lang="en-US" altLang="zh-CN" sz="1100">
            <a:latin typeface="华文楷体" panose="02010600040101010101" pitchFamily="2" charset="-122"/>
            <a:ea typeface="华文楷体" panose="02010600040101010101" pitchFamily="2" charset="-122"/>
          </a:endParaRPr>
        </a:p>
        <a:p>
          <a:r>
            <a:rPr lang="en-US" altLang="zh-CN" sz="1100">
              <a:latin typeface="华文楷体" panose="02010600040101010101" pitchFamily="2" charset="-122"/>
              <a:ea typeface="华文楷体" panose="02010600040101010101" pitchFamily="2" charset="-122"/>
            </a:rPr>
            <a:t>              2-</a:t>
          </a:r>
          <a:r>
            <a:rPr lang="zh-CN" altLang="en-US" sz="1100">
              <a:latin typeface="华文楷体" panose="02010600040101010101" pitchFamily="2" charset="-122"/>
              <a:ea typeface="华文楷体" panose="02010600040101010101" pitchFamily="2" charset="-122"/>
            </a:rPr>
            <a:t>万年历会进行当天未完成工作的提醒。</a:t>
          </a:r>
          <a:endParaRPr lang="zh-CN" altLang="en-US" sz="1100">
            <a:latin typeface="华文楷体" panose="02010600040101010101" pitchFamily="2" charset="-122"/>
            <a:ea typeface="华文楷体" panose="02010600040101010101" pitchFamily="2" charset="-122"/>
          </a:endParaRPr>
        </a:p>
      </xdr:txBody>
    </xdr:sp>
    <xdr:clientData/>
  </xdr:twoCellAnchor>
  <xdr:twoCellAnchor>
    <xdr:from>
      <xdr:col>2</xdr:col>
      <xdr:colOff>447675</xdr:colOff>
      <xdr:row>4</xdr:row>
      <xdr:rowOff>323845</xdr:rowOff>
    </xdr:from>
    <xdr:to>
      <xdr:col>5</xdr:col>
      <xdr:colOff>428625</xdr:colOff>
      <xdr:row>10</xdr:row>
      <xdr:rowOff>180975</xdr:rowOff>
    </xdr:to>
    <xdr:grpSp>
      <xdr:nvGrpSpPr>
        <xdr:cNvPr id="28" name="组合 27">
          <a:hlinkClick xmlns:r="http://schemas.openxmlformats.org/officeDocument/2006/relationships" r:id="rId1"/>
        </xdr:cNvPr>
        <xdr:cNvGrpSpPr/>
      </xdr:nvGrpSpPr>
      <xdr:grpSpPr>
        <a:xfrm>
          <a:off x="2438400" y="2266315"/>
          <a:ext cx="2038350" cy="1858010"/>
          <a:chOff x="2438400" y="2266945"/>
          <a:chExt cx="2038350" cy="1857380"/>
        </a:xfrm>
      </xdr:grpSpPr>
      <xdr:grpSp>
        <xdr:nvGrpSpPr>
          <xdr:cNvPr id="30" name="组合 29"/>
          <xdr:cNvGrpSpPr/>
        </xdr:nvGrpSpPr>
        <xdr:grpSpPr>
          <a:xfrm>
            <a:off x="2438400" y="3495675"/>
            <a:ext cx="2038350" cy="628650"/>
            <a:chOff x="3714750" y="1418724"/>
            <a:chExt cx="1343526" cy="466224"/>
          </a:xfrm>
        </xdr:grpSpPr>
        <xdr:sp>
          <xdr:nvSpPr>
            <xdr:cNvPr id="31" name="矩形 30"/>
            <xdr:cNvSpPr/>
          </xdr:nvSpPr>
          <xdr:spPr>
            <a:xfrm>
              <a:off x="3714750" y="1418724"/>
              <a:ext cx="1343526" cy="466224"/>
            </a:xfrm>
            <a:prstGeom prst="rect">
              <a:avLst/>
            </a:prstGeom>
            <a:gradFill>
              <a:gsLst>
                <a:gs pos="22000">
                  <a:schemeClr val="bg1">
                    <a:alpha val="40000"/>
                  </a:schemeClr>
                </a:gs>
                <a:gs pos="50000">
                  <a:srgbClr val="FFFFFF">
                    <a:alpha val="10000"/>
                  </a:srgbClr>
                </a:gs>
                <a:gs pos="50000">
                  <a:schemeClr val="bg1">
                    <a:alpha val="20000"/>
                  </a:schemeClr>
                </a:gs>
                <a:gs pos="15000">
                  <a:schemeClr val="bg1">
                    <a:alpha val="87000"/>
                  </a:schemeClr>
                </a:gs>
              </a:gsLst>
              <a:lin ang="2700000" scaled="0"/>
            </a:gradFill>
            <a:ln>
              <a:noFill/>
            </a:ln>
            <a:effectLst>
              <a:outerShdw blurRad="228600" dist="88900" dir="2700000" algn="tl" rotWithShape="0">
                <a:prstClr val="black">
                  <a:alpha val="1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/>
            <a:p>
              <a:pPr marL="0" indent="0" algn="ctr" defTabSz="914400" rtl="0" eaLnBrk="1" latinLnBrk="0" hangingPunct="1"/>
              <a:endParaRPr lang="zh-CN" altLang="en-US" sz="1800" kern="1200">
                <a:solidFill>
                  <a:prstClr val="white"/>
                </a:solidFill>
                <a:latin typeface="+mn-lt"/>
                <a:ea typeface="+mn-ea"/>
                <a:cs typeface="+mn-cs"/>
              </a:endParaRPr>
            </a:p>
          </xdr:txBody>
        </xdr:sp>
        <xdr:sp>
          <xdr:nvSpPr>
            <xdr:cNvPr id="32" name="矩形 31"/>
            <xdr:cNvSpPr/>
          </xdr:nvSpPr>
          <xdr:spPr>
            <a:xfrm>
              <a:off x="3766636" y="1452814"/>
              <a:ext cx="1239754" cy="398044"/>
            </a:xfrm>
            <a:prstGeom prst="rect">
              <a:avLst/>
            </a:prstGeom>
            <a:gradFill flip="none" rotWithShape="1">
              <a:gsLst>
                <a:gs pos="0">
                  <a:srgbClr val="F0F0F0"/>
                </a:gs>
                <a:gs pos="100000">
                  <a:srgbClr val="F1F1F1"/>
                </a:gs>
              </a:gsLst>
              <a:lin ang="2700000" scaled="1"/>
              <a:tileRect/>
            </a:gradFill>
            <a:ln w="28575">
              <a:gradFill flip="none" rotWithShape="1">
                <a:gsLst>
                  <a:gs pos="100000">
                    <a:srgbClr val="FFFFFF"/>
                  </a:gs>
                  <a:gs pos="0">
                    <a:srgbClr val="CECED0"/>
                  </a:gs>
                </a:gsLst>
                <a:lin ang="13500000" scaled="1"/>
                <a:tileRect/>
              </a:gradFill>
            </a:ln>
            <a:effectLst>
              <a:outerShdw blurRad="190500" dist="88900" dir="2700000" algn="tl" rotWithShape="0">
                <a:prstClr val="black">
                  <a:alpha val="3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/>
            <a:p>
              <a:pPr marL="0" indent="0" algn="ctr" defTabSz="914400" rtl="0" eaLnBrk="1" latinLnBrk="0" hangingPunct="1"/>
              <a:endParaRPr lang="zh-CN" altLang="en-US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>
          <xdr:nvSpPr>
            <xdr:cNvPr id="33" name="矩形 32"/>
            <xdr:cNvSpPr/>
          </xdr:nvSpPr>
          <xdr:spPr>
            <a:xfrm>
              <a:off x="3784935" y="1470285"/>
              <a:ext cx="1203156" cy="363103"/>
            </a:xfrm>
            <a:prstGeom prst="rect">
              <a:avLst/>
            </a:prstGeom>
            <a:gradFill>
              <a:gsLst>
                <a:gs pos="1000">
                  <a:srgbClr val="6C9CA8"/>
                </a:gs>
                <a:gs pos="44000">
                  <a:schemeClr val="accent5">
                    <a:lumMod val="40000"/>
                    <a:lumOff val="60000"/>
                  </a:schemeClr>
                </a:gs>
                <a:gs pos="98000">
                  <a:schemeClr val="accent5">
                    <a:lumMod val="50000"/>
                  </a:schemeClr>
                </a:gs>
              </a:gsLst>
              <a:lin ang="2700000" scaled="0"/>
            </a:gradFill>
            <a:ln w="222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/>
            <a:p>
              <a:pPr marL="0" indent="0" algn="ctr" defTabSz="914400" rtl="0" eaLnBrk="1" latinLnBrk="0" hangingPunct="1"/>
              <a:r>
                <a:rPr lang="zh-CN" altLang="en-US" sz="1600" b="1" kern="1200">
                  <a:solidFill>
                    <a:schemeClr val="tx1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rPr>
                <a:t>万年历提醒</a:t>
              </a:r>
              <a:endParaRPr lang="zh-CN" altLang="en-US" sz="1600" b="1" kern="12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endParaRPr>
            </a:p>
          </xdr:txBody>
        </xdr:sp>
      </xdr:grpSp>
      <xdr:grpSp>
        <xdr:nvGrpSpPr>
          <xdr:cNvPr id="59" name="组合 58"/>
          <xdr:cNvGrpSpPr/>
        </xdr:nvGrpSpPr>
        <xdr:grpSpPr>
          <a:xfrm>
            <a:off x="2819383" y="2266945"/>
            <a:ext cx="1333517" cy="972000"/>
            <a:chOff x="3938694" y="800170"/>
            <a:chExt cx="699584" cy="462280"/>
          </a:xfrm>
          <a:solidFill>
            <a:schemeClr val="accent2">
              <a:lumMod val="50000"/>
            </a:schemeClr>
          </a:solidFill>
          <a:effectLst>
            <a:reflection stA="33000" endPos="14000" dist="50800" dir="5400000" sy="-100000" algn="bl" rotWithShape="0"/>
          </a:effectLst>
        </xdr:grpSpPr>
        <xdr:sp>
          <xdr:nvSpPr>
            <xdr:cNvPr id="60" name="Freeform 512"/>
            <xdr:cNvSpPr/>
          </xdr:nvSpPr>
          <xdr:spPr>
            <a:xfrm>
              <a:off x="4558149" y="932690"/>
              <a:ext cx="15409" cy="49310"/>
            </a:xfrm>
            <a:custGeom>
              <a:avLst/>
              <a:gdLst>
                <a:gd name="T0" fmla="*/ 4 w 4"/>
                <a:gd name="T1" fmla="*/ 13 h 14"/>
                <a:gd name="T2" fmla="*/ 4 w 4"/>
                <a:gd name="T3" fmla="*/ 9 h 14"/>
                <a:gd name="T4" fmla="*/ 4 w 4"/>
                <a:gd name="T5" fmla="*/ 6 h 14"/>
                <a:gd name="T6" fmla="*/ 4 w 4"/>
                <a:gd name="T7" fmla="*/ 4 h 14"/>
                <a:gd name="T8" fmla="*/ 4 w 4"/>
                <a:gd name="T9" fmla="*/ 2 h 14"/>
                <a:gd name="T10" fmla="*/ 3 w 4"/>
                <a:gd name="T11" fmla="*/ 1 h 14"/>
                <a:gd name="T12" fmla="*/ 2 w 4"/>
                <a:gd name="T13" fmla="*/ 0 h 14"/>
                <a:gd name="T14" fmla="*/ 0 w 4"/>
                <a:gd name="T15" fmla="*/ 2 h 14"/>
                <a:gd name="T16" fmla="*/ 0 w 4"/>
                <a:gd name="T17" fmla="*/ 4 h 14"/>
                <a:gd name="T18" fmla="*/ 0 w 4"/>
                <a:gd name="T19" fmla="*/ 6 h 14"/>
                <a:gd name="T20" fmla="*/ 0 w 4"/>
                <a:gd name="T21" fmla="*/ 9 h 14"/>
                <a:gd name="T22" fmla="*/ 0 w 4"/>
                <a:gd name="T23" fmla="*/ 13 h 14"/>
                <a:gd name="T24" fmla="*/ 1 w 4"/>
                <a:gd name="T25" fmla="*/ 14 h 14"/>
                <a:gd name="T26" fmla="*/ 2 w 4"/>
                <a:gd name="T27" fmla="*/ 14 h 14"/>
                <a:gd name="T28" fmla="*/ 4 w 4"/>
                <a:gd name="T29" fmla="*/ 13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4" h="14">
                  <a:moveTo>
                    <a:pt x="4" y="13"/>
                  </a:moveTo>
                  <a:cubicBezTo>
                    <a:pt x="4" y="9"/>
                    <a:pt x="4" y="9"/>
                    <a:pt x="4" y="9"/>
                  </a:cubicBezTo>
                  <a:cubicBezTo>
                    <a:pt x="4" y="6"/>
                    <a:pt x="4" y="6"/>
                    <a:pt x="4" y="6"/>
                  </a:cubicBezTo>
                  <a:cubicBezTo>
                    <a:pt x="4" y="4"/>
                    <a:pt x="4" y="4"/>
                    <a:pt x="4" y="4"/>
                  </a:cubicBezTo>
                  <a:cubicBezTo>
                    <a:pt x="4" y="2"/>
                    <a:pt x="4" y="2"/>
                    <a:pt x="4" y="2"/>
                  </a:cubicBezTo>
                  <a:cubicBezTo>
                    <a:pt x="4" y="1"/>
                    <a:pt x="3" y="1"/>
                    <a:pt x="3" y="1"/>
                  </a:cubicBezTo>
                  <a:cubicBezTo>
                    <a:pt x="3" y="0"/>
                    <a:pt x="2" y="0"/>
                    <a:pt x="2" y="0"/>
                  </a:cubicBezTo>
                  <a:cubicBezTo>
                    <a:pt x="1" y="0"/>
                    <a:pt x="0" y="1"/>
                    <a:pt x="0" y="2"/>
                  </a:cubicBezTo>
                  <a:cubicBezTo>
                    <a:pt x="0" y="4"/>
                    <a:pt x="0" y="4"/>
                    <a:pt x="0" y="4"/>
                  </a:cubicBezTo>
                  <a:cubicBezTo>
                    <a:pt x="0" y="6"/>
                    <a:pt x="0" y="6"/>
                    <a:pt x="0" y="6"/>
                  </a:cubicBezTo>
                  <a:cubicBezTo>
                    <a:pt x="0" y="9"/>
                    <a:pt x="0" y="9"/>
                    <a:pt x="0" y="9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13"/>
                    <a:pt x="0" y="14"/>
                    <a:pt x="1" y="14"/>
                  </a:cubicBezTo>
                  <a:cubicBezTo>
                    <a:pt x="1" y="14"/>
                    <a:pt x="1" y="14"/>
                    <a:pt x="2" y="14"/>
                  </a:cubicBezTo>
                  <a:cubicBezTo>
                    <a:pt x="3" y="14"/>
                    <a:pt x="4" y="14"/>
                    <a:pt x="4" y="1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1" name="Freeform 513"/>
            <xdr:cNvSpPr/>
          </xdr:nvSpPr>
          <xdr:spPr>
            <a:xfrm>
              <a:off x="4536576" y="1136094"/>
              <a:ext cx="101702" cy="126356"/>
            </a:xfrm>
            <a:custGeom>
              <a:avLst/>
              <a:gdLst>
                <a:gd name="T0" fmla="*/ 0 w 29"/>
                <a:gd name="T1" fmla="*/ 36 h 36"/>
                <a:gd name="T2" fmla="*/ 1 w 29"/>
                <a:gd name="T3" fmla="*/ 36 h 36"/>
                <a:gd name="T4" fmla="*/ 29 w 29"/>
                <a:gd name="T5" fmla="*/ 3 h 36"/>
                <a:gd name="T6" fmla="*/ 29 w 29"/>
                <a:gd name="T7" fmla="*/ 0 h 36"/>
                <a:gd name="T8" fmla="*/ 0 w 29"/>
                <a:gd name="T9" fmla="*/ 0 h 36"/>
                <a:gd name="T10" fmla="*/ 0 w 29"/>
                <a:gd name="T11" fmla="*/ 36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9" h="36">
                  <a:moveTo>
                    <a:pt x="0" y="36"/>
                  </a:moveTo>
                  <a:cubicBezTo>
                    <a:pt x="1" y="36"/>
                    <a:pt x="1" y="36"/>
                    <a:pt x="1" y="36"/>
                  </a:cubicBezTo>
                  <a:cubicBezTo>
                    <a:pt x="1" y="36"/>
                    <a:pt x="29" y="27"/>
                    <a:pt x="29" y="3"/>
                  </a:cubicBezTo>
                  <a:cubicBezTo>
                    <a:pt x="29" y="2"/>
                    <a:pt x="29" y="1"/>
                    <a:pt x="29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36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2" name="Freeform 514"/>
            <xdr:cNvSpPr>
              <a:spLocks noEditPoints="1"/>
            </xdr:cNvSpPr>
          </xdr:nvSpPr>
          <xdr:spPr>
            <a:xfrm>
              <a:off x="4277700" y="963509"/>
              <a:ext cx="360578" cy="298941"/>
            </a:xfrm>
            <a:custGeom>
              <a:avLst/>
              <a:gdLst>
                <a:gd name="T0" fmla="*/ 85 w 104"/>
                <a:gd name="T1" fmla="*/ 4 h 86"/>
                <a:gd name="T2" fmla="*/ 83 w 104"/>
                <a:gd name="T3" fmla="*/ 7 h 86"/>
                <a:gd name="T4" fmla="*/ 80 w 104"/>
                <a:gd name="T5" fmla="*/ 4 h 86"/>
                <a:gd name="T6" fmla="*/ 80 w 104"/>
                <a:gd name="T7" fmla="*/ 0 h 86"/>
                <a:gd name="T8" fmla="*/ 64 w 104"/>
                <a:gd name="T9" fmla="*/ 0 h 86"/>
                <a:gd name="T10" fmla="*/ 64 w 104"/>
                <a:gd name="T11" fmla="*/ 4 h 86"/>
                <a:gd name="T12" fmla="*/ 61 w 104"/>
                <a:gd name="T13" fmla="*/ 7 h 86"/>
                <a:gd name="T14" fmla="*/ 58 w 104"/>
                <a:gd name="T15" fmla="*/ 4 h 86"/>
                <a:gd name="T16" fmla="*/ 58 w 104"/>
                <a:gd name="T17" fmla="*/ 0 h 86"/>
                <a:gd name="T18" fmla="*/ 42 w 104"/>
                <a:gd name="T19" fmla="*/ 0 h 86"/>
                <a:gd name="T20" fmla="*/ 42 w 104"/>
                <a:gd name="T21" fmla="*/ 4 h 86"/>
                <a:gd name="T22" fmla="*/ 40 w 104"/>
                <a:gd name="T23" fmla="*/ 6 h 86"/>
                <a:gd name="T24" fmla="*/ 37 w 104"/>
                <a:gd name="T25" fmla="*/ 4 h 86"/>
                <a:gd name="T26" fmla="*/ 37 w 104"/>
                <a:gd name="T27" fmla="*/ 0 h 86"/>
                <a:gd name="T28" fmla="*/ 33 w 104"/>
                <a:gd name="T29" fmla="*/ 0 h 86"/>
                <a:gd name="T30" fmla="*/ 19 w 104"/>
                <a:gd name="T31" fmla="*/ 0 h 86"/>
                <a:gd name="T32" fmla="*/ 19 w 104"/>
                <a:gd name="T33" fmla="*/ 4 h 86"/>
                <a:gd name="T34" fmla="*/ 18 w 104"/>
                <a:gd name="T35" fmla="*/ 6 h 86"/>
                <a:gd name="T36" fmla="*/ 16 w 104"/>
                <a:gd name="T37" fmla="*/ 6 h 86"/>
                <a:gd name="T38" fmla="*/ 14 w 104"/>
                <a:gd name="T39" fmla="*/ 4 h 86"/>
                <a:gd name="T40" fmla="*/ 14 w 104"/>
                <a:gd name="T41" fmla="*/ 0 h 86"/>
                <a:gd name="T42" fmla="*/ 0 w 104"/>
                <a:gd name="T43" fmla="*/ 0 h 86"/>
                <a:gd name="T44" fmla="*/ 0 w 104"/>
                <a:gd name="T45" fmla="*/ 60 h 86"/>
                <a:gd name="T46" fmla="*/ 0 w 104"/>
                <a:gd name="T47" fmla="*/ 78 h 86"/>
                <a:gd name="T48" fmla="*/ 0 w 104"/>
                <a:gd name="T49" fmla="*/ 86 h 86"/>
                <a:gd name="T50" fmla="*/ 72 w 104"/>
                <a:gd name="T51" fmla="*/ 86 h 86"/>
                <a:gd name="T52" fmla="*/ 72 w 104"/>
                <a:gd name="T53" fmla="*/ 47 h 86"/>
                <a:gd name="T54" fmla="*/ 104 w 104"/>
                <a:gd name="T55" fmla="*/ 47 h 86"/>
                <a:gd name="T56" fmla="*/ 104 w 104"/>
                <a:gd name="T57" fmla="*/ 0 h 86"/>
                <a:gd name="T58" fmla="*/ 85 w 104"/>
                <a:gd name="T59" fmla="*/ 0 h 86"/>
                <a:gd name="T60" fmla="*/ 85 w 104"/>
                <a:gd name="T61" fmla="*/ 4 h 86"/>
                <a:gd name="T62" fmla="*/ 14 w 104"/>
                <a:gd name="T63" fmla="*/ 21 h 86"/>
                <a:gd name="T64" fmla="*/ 20 w 104"/>
                <a:gd name="T65" fmla="*/ 21 h 86"/>
                <a:gd name="T66" fmla="*/ 36 w 104"/>
                <a:gd name="T67" fmla="*/ 21 h 86"/>
                <a:gd name="T68" fmla="*/ 38 w 104"/>
                <a:gd name="T69" fmla="*/ 21 h 86"/>
                <a:gd name="T70" fmla="*/ 38 w 104"/>
                <a:gd name="T71" fmla="*/ 28 h 86"/>
                <a:gd name="T72" fmla="*/ 35 w 104"/>
                <a:gd name="T73" fmla="*/ 28 h 86"/>
                <a:gd name="T74" fmla="*/ 19 w 104"/>
                <a:gd name="T75" fmla="*/ 28 h 86"/>
                <a:gd name="T76" fmla="*/ 14 w 104"/>
                <a:gd name="T77" fmla="*/ 28 h 86"/>
                <a:gd name="T78" fmla="*/ 14 w 104"/>
                <a:gd name="T79" fmla="*/ 21 h 86"/>
                <a:gd name="T80" fmla="*/ 14 w 104"/>
                <a:gd name="T81" fmla="*/ 36 h 86"/>
                <a:gd name="T82" fmla="*/ 17 w 104"/>
                <a:gd name="T83" fmla="*/ 36 h 86"/>
                <a:gd name="T84" fmla="*/ 33 w 104"/>
                <a:gd name="T85" fmla="*/ 36 h 86"/>
                <a:gd name="T86" fmla="*/ 52 w 104"/>
                <a:gd name="T87" fmla="*/ 36 h 86"/>
                <a:gd name="T88" fmla="*/ 52 w 104"/>
                <a:gd name="T89" fmla="*/ 43 h 86"/>
                <a:gd name="T90" fmla="*/ 31 w 104"/>
                <a:gd name="T91" fmla="*/ 43 h 86"/>
                <a:gd name="T92" fmla="*/ 14 w 104"/>
                <a:gd name="T93" fmla="*/ 43 h 86"/>
                <a:gd name="T94" fmla="*/ 14 w 104"/>
                <a:gd name="T95" fmla="*/ 43 h 86"/>
                <a:gd name="T96" fmla="*/ 14 w 104"/>
                <a:gd name="T97" fmla="*/ 36 h 86"/>
                <a:gd name="T98" fmla="*/ 67 w 104"/>
                <a:gd name="T99" fmla="*/ 57 h 86"/>
                <a:gd name="T100" fmla="*/ 24 w 104"/>
                <a:gd name="T101" fmla="*/ 57 h 86"/>
                <a:gd name="T102" fmla="*/ 24 w 104"/>
                <a:gd name="T103" fmla="*/ 57 h 86"/>
                <a:gd name="T104" fmla="*/ 14 w 104"/>
                <a:gd name="T105" fmla="*/ 57 h 86"/>
                <a:gd name="T106" fmla="*/ 14 w 104"/>
                <a:gd name="T107" fmla="*/ 51 h 86"/>
                <a:gd name="T108" fmla="*/ 28 w 104"/>
                <a:gd name="T109" fmla="*/ 51 h 86"/>
                <a:gd name="T110" fmla="*/ 67 w 104"/>
                <a:gd name="T111" fmla="*/ 51 h 86"/>
                <a:gd name="T112" fmla="*/ 67 w 104"/>
                <a:gd name="T113" fmla="*/ 57 h 8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104" h="86">
                  <a:moveTo>
                    <a:pt x="85" y="4"/>
                  </a:moveTo>
                  <a:cubicBezTo>
                    <a:pt x="85" y="4"/>
                    <a:pt x="85" y="7"/>
                    <a:pt x="83" y="7"/>
                  </a:cubicBezTo>
                  <a:cubicBezTo>
                    <a:pt x="80" y="7"/>
                    <a:pt x="80" y="4"/>
                    <a:pt x="80" y="4"/>
                  </a:cubicBezTo>
                  <a:cubicBezTo>
                    <a:pt x="80" y="0"/>
                    <a:pt x="80" y="0"/>
                    <a:pt x="80" y="0"/>
                  </a:cubicBezTo>
                  <a:cubicBezTo>
                    <a:pt x="64" y="0"/>
                    <a:pt x="64" y="0"/>
                    <a:pt x="64" y="0"/>
                  </a:cubicBezTo>
                  <a:cubicBezTo>
                    <a:pt x="64" y="4"/>
                    <a:pt x="64" y="4"/>
                    <a:pt x="64" y="4"/>
                  </a:cubicBezTo>
                  <a:cubicBezTo>
                    <a:pt x="64" y="4"/>
                    <a:pt x="64" y="7"/>
                    <a:pt x="61" y="7"/>
                  </a:cubicBezTo>
                  <a:cubicBezTo>
                    <a:pt x="58" y="7"/>
                    <a:pt x="58" y="4"/>
                    <a:pt x="58" y="4"/>
                  </a:cubicBezTo>
                  <a:cubicBezTo>
                    <a:pt x="58" y="0"/>
                    <a:pt x="58" y="0"/>
                    <a:pt x="58" y="0"/>
                  </a:cubicBezTo>
                  <a:cubicBezTo>
                    <a:pt x="42" y="0"/>
                    <a:pt x="42" y="0"/>
                    <a:pt x="42" y="0"/>
                  </a:cubicBezTo>
                  <a:cubicBezTo>
                    <a:pt x="42" y="4"/>
                    <a:pt x="42" y="4"/>
                    <a:pt x="42" y="4"/>
                  </a:cubicBezTo>
                  <a:cubicBezTo>
                    <a:pt x="42" y="4"/>
                    <a:pt x="42" y="6"/>
                    <a:pt x="40" y="6"/>
                  </a:cubicBezTo>
                  <a:cubicBezTo>
                    <a:pt x="36" y="6"/>
                    <a:pt x="37" y="4"/>
                    <a:pt x="37" y="4"/>
                  </a:cubicBezTo>
                  <a:cubicBezTo>
                    <a:pt x="37" y="0"/>
                    <a:pt x="37" y="0"/>
                    <a:pt x="37" y="0"/>
                  </a:cubicBezTo>
                  <a:cubicBezTo>
                    <a:pt x="33" y="0"/>
                    <a:pt x="33" y="0"/>
                    <a:pt x="33" y="0"/>
                  </a:cubicBezTo>
                  <a:cubicBezTo>
                    <a:pt x="19" y="0"/>
                    <a:pt x="19" y="0"/>
                    <a:pt x="19" y="0"/>
                  </a:cubicBezTo>
                  <a:cubicBezTo>
                    <a:pt x="19" y="4"/>
                    <a:pt x="19" y="4"/>
                    <a:pt x="19" y="4"/>
                  </a:cubicBezTo>
                  <a:cubicBezTo>
                    <a:pt x="19" y="4"/>
                    <a:pt x="19" y="5"/>
                    <a:pt x="18" y="6"/>
                  </a:cubicBezTo>
                  <a:cubicBezTo>
                    <a:pt x="18" y="6"/>
                    <a:pt x="17" y="6"/>
                    <a:pt x="16" y="6"/>
                  </a:cubicBezTo>
                  <a:cubicBezTo>
                    <a:pt x="13" y="6"/>
                    <a:pt x="14" y="4"/>
                    <a:pt x="14" y="4"/>
                  </a:cubicBezTo>
                  <a:cubicBezTo>
                    <a:pt x="14" y="0"/>
                    <a:pt x="14" y="0"/>
                    <a:pt x="14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0" y="60"/>
                    <a:pt x="0" y="60"/>
                    <a:pt x="0" y="60"/>
                  </a:cubicBezTo>
                  <a:cubicBezTo>
                    <a:pt x="0" y="78"/>
                    <a:pt x="0" y="78"/>
                    <a:pt x="0" y="78"/>
                  </a:cubicBezTo>
                  <a:cubicBezTo>
                    <a:pt x="0" y="86"/>
                    <a:pt x="0" y="86"/>
                    <a:pt x="0" y="86"/>
                  </a:cubicBezTo>
                  <a:cubicBezTo>
                    <a:pt x="72" y="86"/>
                    <a:pt x="72" y="86"/>
                    <a:pt x="72" y="86"/>
                  </a:cubicBezTo>
                  <a:cubicBezTo>
                    <a:pt x="72" y="47"/>
                    <a:pt x="72" y="47"/>
                    <a:pt x="72" y="47"/>
                  </a:cubicBezTo>
                  <a:cubicBezTo>
                    <a:pt x="104" y="47"/>
                    <a:pt x="104" y="47"/>
                    <a:pt x="104" y="47"/>
                  </a:cubicBezTo>
                  <a:cubicBezTo>
                    <a:pt x="104" y="24"/>
                    <a:pt x="104" y="0"/>
                    <a:pt x="104" y="0"/>
                  </a:cubicBezTo>
                  <a:cubicBezTo>
                    <a:pt x="85" y="0"/>
                    <a:pt x="85" y="0"/>
                    <a:pt x="85" y="0"/>
                  </a:cubicBezTo>
                  <a:lnTo>
                    <a:pt x="85" y="4"/>
                  </a:lnTo>
                  <a:close/>
                  <a:moveTo>
                    <a:pt x="14" y="21"/>
                  </a:moveTo>
                  <a:cubicBezTo>
                    <a:pt x="20" y="21"/>
                    <a:pt x="20" y="21"/>
                    <a:pt x="20" y="21"/>
                  </a:cubicBezTo>
                  <a:cubicBezTo>
                    <a:pt x="36" y="21"/>
                    <a:pt x="36" y="21"/>
                    <a:pt x="36" y="21"/>
                  </a:cubicBezTo>
                  <a:cubicBezTo>
                    <a:pt x="38" y="21"/>
                    <a:pt x="38" y="21"/>
                    <a:pt x="38" y="21"/>
                  </a:cubicBezTo>
                  <a:cubicBezTo>
                    <a:pt x="38" y="28"/>
                    <a:pt x="38" y="28"/>
                    <a:pt x="38" y="28"/>
                  </a:cubicBezTo>
                  <a:cubicBezTo>
                    <a:pt x="35" y="28"/>
                    <a:pt x="35" y="28"/>
                    <a:pt x="35" y="28"/>
                  </a:cubicBezTo>
                  <a:cubicBezTo>
                    <a:pt x="19" y="28"/>
                    <a:pt x="19" y="28"/>
                    <a:pt x="19" y="28"/>
                  </a:cubicBezTo>
                  <a:cubicBezTo>
                    <a:pt x="14" y="28"/>
                    <a:pt x="14" y="28"/>
                    <a:pt x="14" y="28"/>
                  </a:cubicBezTo>
                  <a:lnTo>
                    <a:pt x="14" y="21"/>
                  </a:lnTo>
                  <a:close/>
                  <a:moveTo>
                    <a:pt x="14" y="36"/>
                  </a:moveTo>
                  <a:cubicBezTo>
                    <a:pt x="17" y="36"/>
                    <a:pt x="17" y="36"/>
                    <a:pt x="17" y="36"/>
                  </a:cubicBezTo>
                  <a:cubicBezTo>
                    <a:pt x="33" y="36"/>
                    <a:pt x="33" y="36"/>
                    <a:pt x="33" y="36"/>
                  </a:cubicBezTo>
                  <a:cubicBezTo>
                    <a:pt x="52" y="36"/>
                    <a:pt x="52" y="36"/>
                    <a:pt x="52" y="36"/>
                  </a:cubicBezTo>
                  <a:cubicBezTo>
                    <a:pt x="52" y="43"/>
                    <a:pt x="52" y="43"/>
                    <a:pt x="52" y="43"/>
                  </a:cubicBezTo>
                  <a:cubicBezTo>
                    <a:pt x="31" y="43"/>
                    <a:pt x="31" y="43"/>
                    <a:pt x="31" y="43"/>
                  </a:cubicBezTo>
                  <a:cubicBezTo>
                    <a:pt x="14" y="43"/>
                    <a:pt x="14" y="43"/>
                    <a:pt x="14" y="43"/>
                  </a:cubicBezTo>
                  <a:cubicBezTo>
                    <a:pt x="14" y="43"/>
                    <a:pt x="14" y="43"/>
                    <a:pt x="14" y="43"/>
                  </a:cubicBezTo>
                  <a:lnTo>
                    <a:pt x="14" y="36"/>
                  </a:lnTo>
                  <a:close/>
                  <a:moveTo>
                    <a:pt x="67" y="57"/>
                  </a:moveTo>
                  <a:cubicBezTo>
                    <a:pt x="24" y="57"/>
                    <a:pt x="24" y="57"/>
                    <a:pt x="24" y="57"/>
                  </a:cubicBezTo>
                  <a:cubicBezTo>
                    <a:pt x="24" y="57"/>
                    <a:pt x="24" y="57"/>
                    <a:pt x="24" y="57"/>
                  </a:cubicBezTo>
                  <a:cubicBezTo>
                    <a:pt x="14" y="57"/>
                    <a:pt x="14" y="57"/>
                    <a:pt x="14" y="57"/>
                  </a:cubicBezTo>
                  <a:cubicBezTo>
                    <a:pt x="14" y="51"/>
                    <a:pt x="14" y="51"/>
                    <a:pt x="14" y="51"/>
                  </a:cubicBezTo>
                  <a:cubicBezTo>
                    <a:pt x="28" y="51"/>
                    <a:pt x="28" y="51"/>
                    <a:pt x="28" y="51"/>
                  </a:cubicBezTo>
                  <a:cubicBezTo>
                    <a:pt x="67" y="51"/>
                    <a:pt x="67" y="51"/>
                    <a:pt x="67" y="51"/>
                  </a:cubicBezTo>
                  <a:lnTo>
                    <a:pt x="67" y="57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3" name="Freeform 515"/>
            <xdr:cNvSpPr/>
          </xdr:nvSpPr>
          <xdr:spPr>
            <a:xfrm>
              <a:off x="4484184" y="932690"/>
              <a:ext cx="12327" cy="49310"/>
            </a:xfrm>
            <a:custGeom>
              <a:avLst/>
              <a:gdLst>
                <a:gd name="T0" fmla="*/ 3 w 3"/>
                <a:gd name="T1" fmla="*/ 13 h 14"/>
                <a:gd name="T2" fmla="*/ 3 w 3"/>
                <a:gd name="T3" fmla="*/ 9 h 14"/>
                <a:gd name="T4" fmla="*/ 3 w 3"/>
                <a:gd name="T5" fmla="*/ 6 h 14"/>
                <a:gd name="T6" fmla="*/ 3 w 3"/>
                <a:gd name="T7" fmla="*/ 4 h 14"/>
                <a:gd name="T8" fmla="*/ 3 w 3"/>
                <a:gd name="T9" fmla="*/ 2 h 14"/>
                <a:gd name="T10" fmla="*/ 2 w 3"/>
                <a:gd name="T11" fmla="*/ 1 h 14"/>
                <a:gd name="T12" fmla="*/ 1 w 3"/>
                <a:gd name="T13" fmla="*/ 0 h 14"/>
                <a:gd name="T14" fmla="*/ 0 w 3"/>
                <a:gd name="T15" fmla="*/ 2 h 14"/>
                <a:gd name="T16" fmla="*/ 0 w 3"/>
                <a:gd name="T17" fmla="*/ 4 h 14"/>
                <a:gd name="T18" fmla="*/ 0 w 3"/>
                <a:gd name="T19" fmla="*/ 6 h 14"/>
                <a:gd name="T20" fmla="*/ 0 w 3"/>
                <a:gd name="T21" fmla="*/ 9 h 14"/>
                <a:gd name="T22" fmla="*/ 0 w 3"/>
                <a:gd name="T23" fmla="*/ 13 h 14"/>
                <a:gd name="T24" fmla="*/ 0 w 3"/>
                <a:gd name="T25" fmla="*/ 14 h 14"/>
                <a:gd name="T26" fmla="*/ 1 w 3"/>
                <a:gd name="T27" fmla="*/ 14 h 14"/>
                <a:gd name="T28" fmla="*/ 3 w 3"/>
                <a:gd name="T29" fmla="*/ 13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3" h="14">
                  <a:moveTo>
                    <a:pt x="3" y="13"/>
                  </a:moveTo>
                  <a:cubicBezTo>
                    <a:pt x="3" y="9"/>
                    <a:pt x="3" y="9"/>
                    <a:pt x="3" y="9"/>
                  </a:cubicBezTo>
                  <a:cubicBezTo>
                    <a:pt x="3" y="6"/>
                    <a:pt x="3" y="6"/>
                    <a:pt x="3" y="6"/>
                  </a:cubicBezTo>
                  <a:cubicBezTo>
                    <a:pt x="3" y="4"/>
                    <a:pt x="3" y="4"/>
                    <a:pt x="3" y="4"/>
                  </a:cubicBezTo>
                  <a:cubicBezTo>
                    <a:pt x="3" y="2"/>
                    <a:pt x="3" y="2"/>
                    <a:pt x="3" y="2"/>
                  </a:cubicBezTo>
                  <a:cubicBezTo>
                    <a:pt x="3" y="1"/>
                    <a:pt x="3" y="1"/>
                    <a:pt x="2" y="1"/>
                  </a:cubicBezTo>
                  <a:cubicBezTo>
                    <a:pt x="2" y="0"/>
                    <a:pt x="2" y="0"/>
                    <a:pt x="1" y="0"/>
                  </a:cubicBezTo>
                  <a:cubicBezTo>
                    <a:pt x="0" y="0"/>
                    <a:pt x="0" y="1"/>
                    <a:pt x="0" y="2"/>
                  </a:cubicBezTo>
                  <a:cubicBezTo>
                    <a:pt x="0" y="4"/>
                    <a:pt x="0" y="4"/>
                    <a:pt x="0" y="4"/>
                  </a:cubicBezTo>
                  <a:cubicBezTo>
                    <a:pt x="0" y="6"/>
                    <a:pt x="0" y="6"/>
                    <a:pt x="0" y="6"/>
                  </a:cubicBezTo>
                  <a:cubicBezTo>
                    <a:pt x="0" y="9"/>
                    <a:pt x="0" y="9"/>
                    <a:pt x="0" y="9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13"/>
                    <a:pt x="0" y="14"/>
                    <a:pt x="0" y="14"/>
                  </a:cubicBezTo>
                  <a:cubicBezTo>
                    <a:pt x="0" y="14"/>
                    <a:pt x="1" y="14"/>
                    <a:pt x="1" y="14"/>
                  </a:cubicBezTo>
                  <a:cubicBezTo>
                    <a:pt x="2" y="14"/>
                    <a:pt x="3" y="14"/>
                    <a:pt x="3" y="1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4" name="Freeform 516"/>
            <xdr:cNvSpPr/>
          </xdr:nvSpPr>
          <xdr:spPr>
            <a:xfrm>
              <a:off x="4410220" y="932690"/>
              <a:ext cx="9246" cy="49310"/>
            </a:xfrm>
            <a:custGeom>
              <a:avLst/>
              <a:gdLst>
                <a:gd name="T0" fmla="*/ 3 w 3"/>
                <a:gd name="T1" fmla="*/ 13 h 14"/>
                <a:gd name="T2" fmla="*/ 3 w 3"/>
                <a:gd name="T3" fmla="*/ 9 h 14"/>
                <a:gd name="T4" fmla="*/ 3 w 3"/>
                <a:gd name="T5" fmla="*/ 6 h 14"/>
                <a:gd name="T6" fmla="*/ 3 w 3"/>
                <a:gd name="T7" fmla="*/ 4 h 14"/>
                <a:gd name="T8" fmla="*/ 3 w 3"/>
                <a:gd name="T9" fmla="*/ 2 h 14"/>
                <a:gd name="T10" fmla="*/ 3 w 3"/>
                <a:gd name="T11" fmla="*/ 0 h 14"/>
                <a:gd name="T12" fmla="*/ 2 w 3"/>
                <a:gd name="T13" fmla="*/ 0 h 14"/>
                <a:gd name="T14" fmla="*/ 0 w 3"/>
                <a:gd name="T15" fmla="*/ 2 h 14"/>
                <a:gd name="T16" fmla="*/ 0 w 3"/>
                <a:gd name="T17" fmla="*/ 4 h 14"/>
                <a:gd name="T18" fmla="*/ 0 w 3"/>
                <a:gd name="T19" fmla="*/ 6 h 14"/>
                <a:gd name="T20" fmla="*/ 0 w 3"/>
                <a:gd name="T21" fmla="*/ 9 h 14"/>
                <a:gd name="T22" fmla="*/ 0 w 3"/>
                <a:gd name="T23" fmla="*/ 13 h 14"/>
                <a:gd name="T24" fmla="*/ 0 w 3"/>
                <a:gd name="T25" fmla="*/ 14 h 14"/>
                <a:gd name="T26" fmla="*/ 2 w 3"/>
                <a:gd name="T27" fmla="*/ 14 h 14"/>
                <a:gd name="T28" fmla="*/ 3 w 3"/>
                <a:gd name="T29" fmla="*/ 13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3" h="14">
                  <a:moveTo>
                    <a:pt x="3" y="13"/>
                  </a:moveTo>
                  <a:cubicBezTo>
                    <a:pt x="3" y="9"/>
                    <a:pt x="3" y="9"/>
                    <a:pt x="3" y="9"/>
                  </a:cubicBezTo>
                  <a:cubicBezTo>
                    <a:pt x="3" y="6"/>
                    <a:pt x="3" y="6"/>
                    <a:pt x="3" y="6"/>
                  </a:cubicBezTo>
                  <a:cubicBezTo>
                    <a:pt x="3" y="4"/>
                    <a:pt x="3" y="4"/>
                    <a:pt x="3" y="4"/>
                  </a:cubicBezTo>
                  <a:cubicBezTo>
                    <a:pt x="3" y="2"/>
                    <a:pt x="3" y="2"/>
                    <a:pt x="3" y="2"/>
                  </a:cubicBezTo>
                  <a:cubicBezTo>
                    <a:pt x="3" y="1"/>
                    <a:pt x="3" y="1"/>
                    <a:pt x="3" y="0"/>
                  </a:cubicBezTo>
                  <a:cubicBezTo>
                    <a:pt x="2" y="0"/>
                    <a:pt x="2" y="0"/>
                    <a:pt x="2" y="0"/>
                  </a:cubicBezTo>
                  <a:cubicBezTo>
                    <a:pt x="1" y="0"/>
                    <a:pt x="0" y="1"/>
                    <a:pt x="0" y="2"/>
                  </a:cubicBezTo>
                  <a:cubicBezTo>
                    <a:pt x="0" y="4"/>
                    <a:pt x="0" y="4"/>
                    <a:pt x="0" y="4"/>
                  </a:cubicBezTo>
                  <a:cubicBezTo>
                    <a:pt x="0" y="6"/>
                    <a:pt x="0" y="6"/>
                    <a:pt x="0" y="6"/>
                  </a:cubicBezTo>
                  <a:cubicBezTo>
                    <a:pt x="0" y="9"/>
                    <a:pt x="0" y="9"/>
                    <a:pt x="0" y="9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13"/>
                    <a:pt x="0" y="14"/>
                    <a:pt x="0" y="14"/>
                  </a:cubicBezTo>
                  <a:cubicBezTo>
                    <a:pt x="1" y="14"/>
                    <a:pt x="1" y="14"/>
                    <a:pt x="2" y="14"/>
                  </a:cubicBezTo>
                  <a:cubicBezTo>
                    <a:pt x="2" y="14"/>
                    <a:pt x="3" y="14"/>
                    <a:pt x="3" y="1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5" name="Freeform 517"/>
            <xdr:cNvSpPr/>
          </xdr:nvSpPr>
          <xdr:spPr>
            <a:xfrm>
              <a:off x="4274618" y="901872"/>
              <a:ext cx="363660" cy="52392"/>
            </a:xfrm>
            <a:custGeom>
              <a:avLst/>
              <a:gdLst>
                <a:gd name="T0" fmla="*/ 100 w 105"/>
                <a:gd name="T1" fmla="*/ 0 h 15"/>
                <a:gd name="T2" fmla="*/ 58 w 105"/>
                <a:gd name="T3" fmla="*/ 0 h 15"/>
                <a:gd name="T4" fmla="*/ 47 w 105"/>
                <a:gd name="T5" fmla="*/ 0 h 15"/>
                <a:gd name="T6" fmla="*/ 25 w 105"/>
                <a:gd name="T7" fmla="*/ 0 h 15"/>
                <a:gd name="T8" fmla="*/ 25 w 105"/>
                <a:gd name="T9" fmla="*/ 0 h 15"/>
                <a:gd name="T10" fmla="*/ 6 w 105"/>
                <a:gd name="T11" fmla="*/ 0 h 15"/>
                <a:gd name="T12" fmla="*/ 4 w 105"/>
                <a:gd name="T13" fmla="*/ 0 h 15"/>
                <a:gd name="T14" fmla="*/ 4 w 105"/>
                <a:gd name="T15" fmla="*/ 0 h 15"/>
                <a:gd name="T16" fmla="*/ 1 w 105"/>
                <a:gd name="T17" fmla="*/ 5 h 15"/>
                <a:gd name="T18" fmla="*/ 1 w 105"/>
                <a:gd name="T19" fmla="*/ 15 h 15"/>
                <a:gd name="T20" fmla="*/ 15 w 105"/>
                <a:gd name="T21" fmla="*/ 15 h 15"/>
                <a:gd name="T22" fmla="*/ 15 w 105"/>
                <a:gd name="T23" fmla="*/ 13 h 15"/>
                <a:gd name="T24" fmla="*/ 15 w 105"/>
                <a:gd name="T25" fmla="*/ 13 h 15"/>
                <a:gd name="T26" fmla="*/ 15 w 105"/>
                <a:gd name="T27" fmla="*/ 12 h 15"/>
                <a:gd name="T28" fmla="*/ 15 w 105"/>
                <a:gd name="T29" fmla="*/ 12 h 15"/>
                <a:gd name="T30" fmla="*/ 13 w 105"/>
                <a:gd name="T31" fmla="*/ 9 h 15"/>
                <a:gd name="T32" fmla="*/ 18 w 105"/>
                <a:gd name="T33" fmla="*/ 5 h 15"/>
                <a:gd name="T34" fmla="*/ 22 w 105"/>
                <a:gd name="T35" fmla="*/ 9 h 15"/>
                <a:gd name="T36" fmla="*/ 20 w 105"/>
                <a:gd name="T37" fmla="*/ 12 h 15"/>
                <a:gd name="T38" fmla="*/ 20 w 105"/>
                <a:gd name="T39" fmla="*/ 15 h 15"/>
                <a:gd name="T40" fmla="*/ 33 w 105"/>
                <a:gd name="T41" fmla="*/ 15 h 15"/>
                <a:gd name="T42" fmla="*/ 38 w 105"/>
                <a:gd name="T43" fmla="*/ 15 h 15"/>
                <a:gd name="T44" fmla="*/ 38 w 105"/>
                <a:gd name="T45" fmla="*/ 12 h 15"/>
                <a:gd name="T46" fmla="*/ 36 w 105"/>
                <a:gd name="T47" fmla="*/ 9 h 15"/>
                <a:gd name="T48" fmla="*/ 41 w 105"/>
                <a:gd name="T49" fmla="*/ 5 h 15"/>
                <a:gd name="T50" fmla="*/ 45 w 105"/>
                <a:gd name="T51" fmla="*/ 9 h 15"/>
                <a:gd name="T52" fmla="*/ 43 w 105"/>
                <a:gd name="T53" fmla="*/ 12 h 15"/>
                <a:gd name="T54" fmla="*/ 43 w 105"/>
                <a:gd name="T55" fmla="*/ 12 h 15"/>
                <a:gd name="T56" fmla="*/ 43 w 105"/>
                <a:gd name="T57" fmla="*/ 15 h 15"/>
                <a:gd name="T58" fmla="*/ 53 w 105"/>
                <a:gd name="T59" fmla="*/ 15 h 15"/>
                <a:gd name="T60" fmla="*/ 59 w 105"/>
                <a:gd name="T61" fmla="*/ 15 h 15"/>
                <a:gd name="T62" fmla="*/ 59 w 105"/>
                <a:gd name="T63" fmla="*/ 12 h 15"/>
                <a:gd name="T64" fmla="*/ 58 w 105"/>
                <a:gd name="T65" fmla="*/ 9 h 15"/>
                <a:gd name="T66" fmla="*/ 62 w 105"/>
                <a:gd name="T67" fmla="*/ 5 h 15"/>
                <a:gd name="T68" fmla="*/ 67 w 105"/>
                <a:gd name="T69" fmla="*/ 9 h 15"/>
                <a:gd name="T70" fmla="*/ 65 w 105"/>
                <a:gd name="T71" fmla="*/ 13 h 15"/>
                <a:gd name="T72" fmla="*/ 65 w 105"/>
                <a:gd name="T73" fmla="*/ 15 h 15"/>
                <a:gd name="T74" fmla="*/ 81 w 105"/>
                <a:gd name="T75" fmla="*/ 15 h 15"/>
                <a:gd name="T76" fmla="*/ 81 w 105"/>
                <a:gd name="T77" fmla="*/ 12 h 15"/>
                <a:gd name="T78" fmla="*/ 80 w 105"/>
                <a:gd name="T79" fmla="*/ 9 h 15"/>
                <a:gd name="T80" fmla="*/ 84 w 105"/>
                <a:gd name="T81" fmla="*/ 5 h 15"/>
                <a:gd name="T82" fmla="*/ 88 w 105"/>
                <a:gd name="T83" fmla="*/ 9 h 15"/>
                <a:gd name="T84" fmla="*/ 86 w 105"/>
                <a:gd name="T85" fmla="*/ 13 h 15"/>
                <a:gd name="T86" fmla="*/ 86 w 105"/>
                <a:gd name="T87" fmla="*/ 15 h 15"/>
                <a:gd name="T88" fmla="*/ 105 w 105"/>
                <a:gd name="T89" fmla="*/ 15 h 15"/>
                <a:gd name="T90" fmla="*/ 105 w 105"/>
                <a:gd name="T91" fmla="*/ 5 h 15"/>
                <a:gd name="T92" fmla="*/ 100 w 105"/>
                <a:gd name="T93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05" h="15">
                  <a:moveTo>
                    <a:pt x="100" y="0"/>
                  </a:moveTo>
                  <a:cubicBezTo>
                    <a:pt x="94" y="0"/>
                    <a:pt x="58" y="0"/>
                    <a:pt x="58" y="0"/>
                  </a:cubicBezTo>
                  <a:cubicBezTo>
                    <a:pt x="47" y="0"/>
                    <a:pt x="47" y="0"/>
                    <a:pt x="47" y="0"/>
                  </a:cubicBezTo>
                  <a:cubicBezTo>
                    <a:pt x="47" y="0"/>
                    <a:pt x="36" y="0"/>
                    <a:pt x="25" y="0"/>
                  </a:cubicBezTo>
                  <a:cubicBezTo>
                    <a:pt x="25" y="0"/>
                    <a:pt x="25" y="0"/>
                    <a:pt x="25" y="0"/>
                  </a:cubicBezTo>
                  <a:cubicBezTo>
                    <a:pt x="16" y="0"/>
                    <a:pt x="8" y="0"/>
                    <a:pt x="6" y="0"/>
                  </a:cubicBezTo>
                  <a:cubicBezTo>
                    <a:pt x="5" y="0"/>
                    <a:pt x="5" y="0"/>
                    <a:pt x="4" y="0"/>
                  </a:cubicBezTo>
                  <a:cubicBezTo>
                    <a:pt x="4" y="0"/>
                    <a:pt x="4" y="0"/>
                    <a:pt x="4" y="0"/>
                  </a:cubicBezTo>
                  <a:cubicBezTo>
                    <a:pt x="0" y="1"/>
                    <a:pt x="1" y="5"/>
                    <a:pt x="1" y="5"/>
                  </a:cubicBezTo>
                  <a:cubicBezTo>
                    <a:pt x="1" y="15"/>
                    <a:pt x="1" y="15"/>
                    <a:pt x="1" y="15"/>
                  </a:cubicBezTo>
                  <a:cubicBezTo>
                    <a:pt x="15" y="15"/>
                    <a:pt x="15" y="15"/>
                    <a:pt x="15" y="15"/>
                  </a:cubicBezTo>
                  <a:cubicBezTo>
                    <a:pt x="15" y="13"/>
                    <a:pt x="15" y="13"/>
                    <a:pt x="15" y="13"/>
                  </a:cubicBezTo>
                  <a:cubicBezTo>
                    <a:pt x="15" y="13"/>
                    <a:pt x="15" y="13"/>
                    <a:pt x="15" y="13"/>
                  </a:cubicBezTo>
                  <a:cubicBezTo>
                    <a:pt x="15" y="12"/>
                    <a:pt x="15" y="12"/>
                    <a:pt x="15" y="12"/>
                  </a:cubicBezTo>
                  <a:cubicBezTo>
                    <a:pt x="15" y="12"/>
                    <a:pt x="15" y="12"/>
                    <a:pt x="15" y="12"/>
                  </a:cubicBezTo>
                  <a:cubicBezTo>
                    <a:pt x="14" y="11"/>
                    <a:pt x="13" y="10"/>
                    <a:pt x="13" y="9"/>
                  </a:cubicBezTo>
                  <a:cubicBezTo>
                    <a:pt x="13" y="7"/>
                    <a:pt x="15" y="5"/>
                    <a:pt x="18" y="5"/>
                  </a:cubicBezTo>
                  <a:cubicBezTo>
                    <a:pt x="20" y="5"/>
                    <a:pt x="22" y="7"/>
                    <a:pt x="22" y="9"/>
                  </a:cubicBezTo>
                  <a:cubicBezTo>
                    <a:pt x="22" y="10"/>
                    <a:pt x="21" y="12"/>
                    <a:pt x="20" y="12"/>
                  </a:cubicBezTo>
                  <a:cubicBezTo>
                    <a:pt x="20" y="15"/>
                    <a:pt x="20" y="15"/>
                    <a:pt x="20" y="15"/>
                  </a:cubicBezTo>
                  <a:cubicBezTo>
                    <a:pt x="33" y="15"/>
                    <a:pt x="33" y="15"/>
                    <a:pt x="33" y="15"/>
                  </a:cubicBezTo>
                  <a:cubicBezTo>
                    <a:pt x="38" y="15"/>
                    <a:pt x="38" y="15"/>
                    <a:pt x="38" y="15"/>
                  </a:cubicBezTo>
                  <a:cubicBezTo>
                    <a:pt x="38" y="12"/>
                    <a:pt x="38" y="12"/>
                    <a:pt x="38" y="12"/>
                  </a:cubicBezTo>
                  <a:cubicBezTo>
                    <a:pt x="37" y="11"/>
                    <a:pt x="36" y="10"/>
                    <a:pt x="36" y="9"/>
                  </a:cubicBezTo>
                  <a:cubicBezTo>
                    <a:pt x="36" y="7"/>
                    <a:pt x="38" y="5"/>
                    <a:pt x="41" y="5"/>
                  </a:cubicBezTo>
                  <a:cubicBezTo>
                    <a:pt x="43" y="5"/>
                    <a:pt x="45" y="7"/>
                    <a:pt x="45" y="9"/>
                  </a:cubicBezTo>
                  <a:cubicBezTo>
                    <a:pt x="45" y="10"/>
                    <a:pt x="44" y="12"/>
                    <a:pt x="43" y="12"/>
                  </a:cubicBezTo>
                  <a:cubicBezTo>
                    <a:pt x="43" y="12"/>
                    <a:pt x="43" y="12"/>
                    <a:pt x="43" y="12"/>
                  </a:cubicBezTo>
                  <a:cubicBezTo>
                    <a:pt x="43" y="15"/>
                    <a:pt x="43" y="15"/>
                    <a:pt x="43" y="15"/>
                  </a:cubicBezTo>
                  <a:cubicBezTo>
                    <a:pt x="53" y="15"/>
                    <a:pt x="53" y="15"/>
                    <a:pt x="53" y="15"/>
                  </a:cubicBezTo>
                  <a:cubicBezTo>
                    <a:pt x="59" y="15"/>
                    <a:pt x="59" y="15"/>
                    <a:pt x="59" y="15"/>
                  </a:cubicBezTo>
                  <a:cubicBezTo>
                    <a:pt x="59" y="12"/>
                    <a:pt x="59" y="12"/>
                    <a:pt x="59" y="12"/>
                  </a:cubicBezTo>
                  <a:cubicBezTo>
                    <a:pt x="59" y="11"/>
                    <a:pt x="58" y="10"/>
                    <a:pt x="58" y="9"/>
                  </a:cubicBezTo>
                  <a:cubicBezTo>
                    <a:pt x="58" y="7"/>
                    <a:pt x="60" y="5"/>
                    <a:pt x="62" y="5"/>
                  </a:cubicBezTo>
                  <a:cubicBezTo>
                    <a:pt x="65" y="5"/>
                    <a:pt x="67" y="7"/>
                    <a:pt x="67" y="9"/>
                  </a:cubicBezTo>
                  <a:cubicBezTo>
                    <a:pt x="67" y="10"/>
                    <a:pt x="66" y="12"/>
                    <a:pt x="65" y="13"/>
                  </a:cubicBezTo>
                  <a:cubicBezTo>
                    <a:pt x="65" y="15"/>
                    <a:pt x="65" y="15"/>
                    <a:pt x="65" y="15"/>
                  </a:cubicBezTo>
                  <a:cubicBezTo>
                    <a:pt x="81" y="15"/>
                    <a:pt x="81" y="15"/>
                    <a:pt x="81" y="15"/>
                  </a:cubicBezTo>
                  <a:cubicBezTo>
                    <a:pt x="81" y="12"/>
                    <a:pt x="81" y="12"/>
                    <a:pt x="81" y="12"/>
                  </a:cubicBezTo>
                  <a:cubicBezTo>
                    <a:pt x="80" y="11"/>
                    <a:pt x="80" y="10"/>
                    <a:pt x="80" y="9"/>
                  </a:cubicBezTo>
                  <a:cubicBezTo>
                    <a:pt x="80" y="7"/>
                    <a:pt x="82" y="5"/>
                    <a:pt x="84" y="5"/>
                  </a:cubicBezTo>
                  <a:cubicBezTo>
                    <a:pt x="86" y="5"/>
                    <a:pt x="88" y="7"/>
                    <a:pt x="88" y="9"/>
                  </a:cubicBezTo>
                  <a:cubicBezTo>
                    <a:pt x="88" y="11"/>
                    <a:pt x="88" y="12"/>
                    <a:pt x="86" y="13"/>
                  </a:cubicBezTo>
                  <a:cubicBezTo>
                    <a:pt x="86" y="15"/>
                    <a:pt x="86" y="15"/>
                    <a:pt x="86" y="15"/>
                  </a:cubicBezTo>
                  <a:cubicBezTo>
                    <a:pt x="105" y="15"/>
                    <a:pt x="105" y="15"/>
                    <a:pt x="105" y="15"/>
                  </a:cubicBezTo>
                  <a:cubicBezTo>
                    <a:pt x="105" y="5"/>
                    <a:pt x="105" y="5"/>
                    <a:pt x="105" y="5"/>
                  </a:cubicBezTo>
                  <a:cubicBezTo>
                    <a:pt x="105" y="5"/>
                    <a:pt x="105" y="0"/>
                    <a:pt x="100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6" name="Freeform 518"/>
            <xdr:cNvSpPr/>
          </xdr:nvSpPr>
          <xdr:spPr>
            <a:xfrm>
              <a:off x="4330091" y="932690"/>
              <a:ext cx="9246" cy="49310"/>
            </a:xfrm>
            <a:custGeom>
              <a:avLst/>
              <a:gdLst>
                <a:gd name="T0" fmla="*/ 3 w 3"/>
                <a:gd name="T1" fmla="*/ 14 h 14"/>
                <a:gd name="T2" fmla="*/ 3 w 3"/>
                <a:gd name="T3" fmla="*/ 13 h 14"/>
                <a:gd name="T4" fmla="*/ 3 w 3"/>
                <a:gd name="T5" fmla="*/ 9 h 14"/>
                <a:gd name="T6" fmla="*/ 3 w 3"/>
                <a:gd name="T7" fmla="*/ 6 h 14"/>
                <a:gd name="T8" fmla="*/ 3 w 3"/>
                <a:gd name="T9" fmla="*/ 4 h 14"/>
                <a:gd name="T10" fmla="*/ 3 w 3"/>
                <a:gd name="T11" fmla="*/ 2 h 14"/>
                <a:gd name="T12" fmla="*/ 3 w 3"/>
                <a:gd name="T13" fmla="*/ 0 h 14"/>
                <a:gd name="T14" fmla="*/ 1 w 3"/>
                <a:gd name="T15" fmla="*/ 0 h 14"/>
                <a:gd name="T16" fmla="*/ 0 w 3"/>
                <a:gd name="T17" fmla="*/ 2 h 14"/>
                <a:gd name="T18" fmla="*/ 0 w 3"/>
                <a:gd name="T19" fmla="*/ 4 h 14"/>
                <a:gd name="T20" fmla="*/ 0 w 3"/>
                <a:gd name="T21" fmla="*/ 6 h 14"/>
                <a:gd name="T22" fmla="*/ 0 w 3"/>
                <a:gd name="T23" fmla="*/ 6 h 14"/>
                <a:gd name="T24" fmla="*/ 0 w 3"/>
                <a:gd name="T25" fmla="*/ 6 h 14"/>
                <a:gd name="T26" fmla="*/ 0 w 3"/>
                <a:gd name="T27" fmla="*/ 9 h 14"/>
                <a:gd name="T28" fmla="*/ 0 w 3"/>
                <a:gd name="T29" fmla="*/ 13 h 14"/>
                <a:gd name="T30" fmla="*/ 0 w 3"/>
                <a:gd name="T31" fmla="*/ 14 h 14"/>
                <a:gd name="T32" fmla="*/ 1 w 3"/>
                <a:gd name="T33" fmla="*/ 14 h 14"/>
                <a:gd name="T34" fmla="*/ 3 w 3"/>
                <a:gd name="T35" fmla="*/ 14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3" h="14">
                  <a:moveTo>
                    <a:pt x="3" y="14"/>
                  </a:moveTo>
                  <a:cubicBezTo>
                    <a:pt x="3" y="14"/>
                    <a:pt x="3" y="13"/>
                    <a:pt x="3" y="13"/>
                  </a:cubicBezTo>
                  <a:cubicBezTo>
                    <a:pt x="3" y="9"/>
                    <a:pt x="3" y="9"/>
                    <a:pt x="3" y="9"/>
                  </a:cubicBezTo>
                  <a:cubicBezTo>
                    <a:pt x="3" y="6"/>
                    <a:pt x="3" y="6"/>
                    <a:pt x="3" y="6"/>
                  </a:cubicBezTo>
                  <a:cubicBezTo>
                    <a:pt x="3" y="4"/>
                    <a:pt x="3" y="4"/>
                    <a:pt x="3" y="4"/>
                  </a:cubicBezTo>
                  <a:cubicBezTo>
                    <a:pt x="3" y="2"/>
                    <a:pt x="3" y="2"/>
                    <a:pt x="3" y="2"/>
                  </a:cubicBezTo>
                  <a:cubicBezTo>
                    <a:pt x="3" y="1"/>
                    <a:pt x="3" y="1"/>
                    <a:pt x="3" y="0"/>
                  </a:cubicBezTo>
                  <a:cubicBezTo>
                    <a:pt x="2" y="0"/>
                    <a:pt x="2" y="0"/>
                    <a:pt x="1" y="0"/>
                  </a:cubicBezTo>
                  <a:cubicBezTo>
                    <a:pt x="0" y="0"/>
                    <a:pt x="0" y="1"/>
                    <a:pt x="0" y="2"/>
                  </a:cubicBezTo>
                  <a:cubicBezTo>
                    <a:pt x="0" y="4"/>
                    <a:pt x="0" y="4"/>
                    <a:pt x="0" y="4"/>
                  </a:cubicBezTo>
                  <a:cubicBezTo>
                    <a:pt x="0" y="6"/>
                    <a:pt x="0" y="6"/>
                    <a:pt x="0" y="6"/>
                  </a:cubicBezTo>
                  <a:cubicBezTo>
                    <a:pt x="0" y="6"/>
                    <a:pt x="0" y="6"/>
                    <a:pt x="0" y="6"/>
                  </a:cubicBezTo>
                  <a:cubicBezTo>
                    <a:pt x="0" y="6"/>
                    <a:pt x="0" y="6"/>
                    <a:pt x="0" y="6"/>
                  </a:cubicBezTo>
                  <a:cubicBezTo>
                    <a:pt x="0" y="9"/>
                    <a:pt x="0" y="9"/>
                    <a:pt x="0" y="9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13"/>
                    <a:pt x="0" y="14"/>
                    <a:pt x="0" y="14"/>
                  </a:cubicBezTo>
                  <a:cubicBezTo>
                    <a:pt x="1" y="14"/>
                    <a:pt x="1" y="14"/>
                    <a:pt x="1" y="14"/>
                  </a:cubicBezTo>
                  <a:cubicBezTo>
                    <a:pt x="2" y="14"/>
                    <a:pt x="2" y="14"/>
                    <a:pt x="3" y="1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7" name="Freeform 519"/>
            <xdr:cNvSpPr>
              <a:spLocks noEditPoints="1"/>
            </xdr:cNvSpPr>
          </xdr:nvSpPr>
          <xdr:spPr>
            <a:xfrm>
              <a:off x="4092788" y="911117"/>
              <a:ext cx="89374" cy="157175"/>
            </a:xfrm>
            <a:custGeom>
              <a:avLst/>
              <a:gdLst>
                <a:gd name="T0" fmla="*/ 23 w 26"/>
                <a:gd name="T1" fmla="*/ 1 h 45"/>
                <a:gd name="T2" fmla="*/ 22 w 26"/>
                <a:gd name="T3" fmla="*/ 0 h 45"/>
                <a:gd name="T4" fmla="*/ 21 w 26"/>
                <a:gd name="T5" fmla="*/ 2 h 45"/>
                <a:gd name="T6" fmla="*/ 21 w 26"/>
                <a:gd name="T7" fmla="*/ 32 h 45"/>
                <a:gd name="T8" fmla="*/ 18 w 26"/>
                <a:gd name="T9" fmla="*/ 35 h 45"/>
                <a:gd name="T10" fmla="*/ 1 w 26"/>
                <a:gd name="T11" fmla="*/ 42 h 45"/>
                <a:gd name="T12" fmla="*/ 0 w 26"/>
                <a:gd name="T13" fmla="*/ 43 h 45"/>
                <a:gd name="T14" fmla="*/ 0 w 26"/>
                <a:gd name="T15" fmla="*/ 44 h 45"/>
                <a:gd name="T16" fmla="*/ 2 w 26"/>
                <a:gd name="T17" fmla="*/ 45 h 45"/>
                <a:gd name="T18" fmla="*/ 20 w 26"/>
                <a:gd name="T19" fmla="*/ 38 h 45"/>
                <a:gd name="T20" fmla="*/ 22 w 26"/>
                <a:gd name="T21" fmla="*/ 39 h 45"/>
                <a:gd name="T22" fmla="*/ 26 w 26"/>
                <a:gd name="T23" fmla="*/ 35 h 45"/>
                <a:gd name="T24" fmla="*/ 24 w 26"/>
                <a:gd name="T25" fmla="*/ 32 h 45"/>
                <a:gd name="T26" fmla="*/ 24 w 26"/>
                <a:gd name="T27" fmla="*/ 2 h 45"/>
                <a:gd name="T28" fmla="*/ 23 w 26"/>
                <a:gd name="T29" fmla="*/ 1 h 45"/>
                <a:gd name="T30" fmla="*/ 25 w 26"/>
                <a:gd name="T31" fmla="*/ 35 h 45"/>
                <a:gd name="T32" fmla="*/ 22 w 26"/>
                <a:gd name="T33" fmla="*/ 38 h 45"/>
                <a:gd name="T34" fmla="*/ 21 w 26"/>
                <a:gd name="T35" fmla="*/ 38 h 45"/>
                <a:gd name="T36" fmla="*/ 20 w 26"/>
                <a:gd name="T37" fmla="*/ 35 h 45"/>
                <a:gd name="T38" fmla="*/ 20 w 26"/>
                <a:gd name="T39" fmla="*/ 34 h 45"/>
                <a:gd name="T40" fmla="*/ 21 w 26"/>
                <a:gd name="T41" fmla="*/ 33 h 45"/>
                <a:gd name="T42" fmla="*/ 22 w 26"/>
                <a:gd name="T43" fmla="*/ 33 h 45"/>
                <a:gd name="T44" fmla="*/ 24 w 26"/>
                <a:gd name="T45" fmla="*/ 33 h 45"/>
                <a:gd name="T46" fmla="*/ 25 w 26"/>
                <a:gd name="T47" fmla="*/ 35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26" h="45">
                  <a:moveTo>
                    <a:pt x="23" y="1"/>
                  </a:moveTo>
                  <a:cubicBezTo>
                    <a:pt x="23" y="0"/>
                    <a:pt x="23" y="0"/>
                    <a:pt x="22" y="0"/>
                  </a:cubicBezTo>
                  <a:cubicBezTo>
                    <a:pt x="22" y="0"/>
                    <a:pt x="21" y="1"/>
                    <a:pt x="21" y="2"/>
                  </a:cubicBezTo>
                  <a:cubicBezTo>
                    <a:pt x="21" y="32"/>
                    <a:pt x="21" y="32"/>
                    <a:pt x="21" y="32"/>
                  </a:cubicBezTo>
                  <a:cubicBezTo>
                    <a:pt x="20" y="32"/>
                    <a:pt x="19" y="34"/>
                    <a:pt x="18" y="35"/>
                  </a:cubicBezTo>
                  <a:cubicBezTo>
                    <a:pt x="1" y="42"/>
                    <a:pt x="1" y="42"/>
                    <a:pt x="1" y="42"/>
                  </a:cubicBezTo>
                  <a:cubicBezTo>
                    <a:pt x="0" y="42"/>
                    <a:pt x="0" y="43"/>
                    <a:pt x="0" y="43"/>
                  </a:cubicBezTo>
                  <a:cubicBezTo>
                    <a:pt x="0" y="43"/>
                    <a:pt x="0" y="44"/>
                    <a:pt x="0" y="44"/>
                  </a:cubicBezTo>
                  <a:cubicBezTo>
                    <a:pt x="0" y="45"/>
                    <a:pt x="1" y="45"/>
                    <a:pt x="2" y="45"/>
                  </a:cubicBezTo>
                  <a:cubicBezTo>
                    <a:pt x="20" y="38"/>
                    <a:pt x="20" y="38"/>
                    <a:pt x="20" y="38"/>
                  </a:cubicBezTo>
                  <a:cubicBezTo>
                    <a:pt x="20" y="39"/>
                    <a:pt x="21" y="39"/>
                    <a:pt x="22" y="39"/>
                  </a:cubicBezTo>
                  <a:cubicBezTo>
                    <a:pt x="25" y="39"/>
                    <a:pt x="26" y="38"/>
                    <a:pt x="26" y="35"/>
                  </a:cubicBezTo>
                  <a:cubicBezTo>
                    <a:pt x="26" y="34"/>
                    <a:pt x="25" y="32"/>
                    <a:pt x="24" y="32"/>
                  </a:cubicBezTo>
                  <a:cubicBezTo>
                    <a:pt x="24" y="2"/>
                    <a:pt x="24" y="2"/>
                    <a:pt x="24" y="2"/>
                  </a:cubicBezTo>
                  <a:cubicBezTo>
                    <a:pt x="24" y="1"/>
                    <a:pt x="24" y="1"/>
                    <a:pt x="23" y="1"/>
                  </a:cubicBezTo>
                  <a:close/>
                  <a:moveTo>
                    <a:pt x="25" y="35"/>
                  </a:moveTo>
                  <a:cubicBezTo>
                    <a:pt x="25" y="37"/>
                    <a:pt x="24" y="38"/>
                    <a:pt x="22" y="38"/>
                  </a:cubicBezTo>
                  <a:cubicBezTo>
                    <a:pt x="22" y="38"/>
                    <a:pt x="22" y="38"/>
                    <a:pt x="21" y="38"/>
                  </a:cubicBezTo>
                  <a:cubicBezTo>
                    <a:pt x="20" y="37"/>
                    <a:pt x="20" y="36"/>
                    <a:pt x="20" y="35"/>
                  </a:cubicBezTo>
                  <a:cubicBezTo>
                    <a:pt x="20" y="35"/>
                    <a:pt x="20" y="35"/>
                    <a:pt x="20" y="34"/>
                  </a:cubicBezTo>
                  <a:cubicBezTo>
                    <a:pt x="20" y="34"/>
                    <a:pt x="21" y="34"/>
                    <a:pt x="21" y="33"/>
                  </a:cubicBezTo>
                  <a:cubicBezTo>
                    <a:pt x="21" y="33"/>
                    <a:pt x="22" y="33"/>
                    <a:pt x="22" y="33"/>
                  </a:cubicBezTo>
                  <a:cubicBezTo>
                    <a:pt x="23" y="33"/>
                    <a:pt x="23" y="33"/>
                    <a:pt x="24" y="33"/>
                  </a:cubicBezTo>
                  <a:cubicBezTo>
                    <a:pt x="24" y="34"/>
                    <a:pt x="25" y="35"/>
                    <a:pt x="25" y="35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68" name="Freeform 520"/>
            <xdr:cNvSpPr/>
          </xdr:nvSpPr>
          <xdr:spPr>
            <a:xfrm>
              <a:off x="3938694" y="800170"/>
              <a:ext cx="416052" cy="462280"/>
            </a:xfrm>
            <a:custGeom>
              <a:avLst/>
              <a:gdLst>
                <a:gd name="T0" fmla="*/ 119 w 119"/>
                <a:gd name="T1" fmla="*/ 26 h 133"/>
                <a:gd name="T2" fmla="*/ 66 w 119"/>
                <a:gd name="T3" fmla="*/ 0 h 133"/>
                <a:gd name="T4" fmla="*/ 0 w 119"/>
                <a:gd name="T5" fmla="*/ 67 h 133"/>
                <a:gd name="T6" fmla="*/ 66 w 119"/>
                <a:gd name="T7" fmla="*/ 133 h 133"/>
                <a:gd name="T8" fmla="*/ 94 w 119"/>
                <a:gd name="T9" fmla="*/ 127 h 133"/>
                <a:gd name="T10" fmla="*/ 94 w 119"/>
                <a:gd name="T11" fmla="*/ 109 h 133"/>
                <a:gd name="T12" fmla="*/ 66 w 119"/>
                <a:gd name="T13" fmla="*/ 117 h 133"/>
                <a:gd name="T14" fmla="*/ 16 w 119"/>
                <a:gd name="T15" fmla="*/ 67 h 133"/>
                <a:gd name="T16" fmla="*/ 66 w 119"/>
                <a:gd name="T17" fmla="*/ 16 h 133"/>
                <a:gd name="T18" fmla="*/ 96 w 119"/>
                <a:gd name="T19" fmla="*/ 26 h 133"/>
                <a:gd name="T20" fmla="*/ 119 w 119"/>
                <a:gd name="T21" fmla="*/ 26 h 13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119" h="133">
                  <a:moveTo>
                    <a:pt x="119" y="26"/>
                  </a:moveTo>
                  <a:cubicBezTo>
                    <a:pt x="106" y="10"/>
                    <a:pt x="88" y="0"/>
                    <a:pt x="66" y="0"/>
                  </a:cubicBezTo>
                  <a:cubicBezTo>
                    <a:pt x="30" y="0"/>
                    <a:pt x="0" y="30"/>
                    <a:pt x="0" y="67"/>
                  </a:cubicBezTo>
                  <a:cubicBezTo>
                    <a:pt x="0" y="103"/>
                    <a:pt x="30" y="133"/>
                    <a:pt x="66" y="133"/>
                  </a:cubicBezTo>
                  <a:cubicBezTo>
                    <a:pt x="76" y="133"/>
                    <a:pt x="85" y="131"/>
                    <a:pt x="94" y="127"/>
                  </a:cubicBezTo>
                  <a:cubicBezTo>
                    <a:pt x="94" y="109"/>
                    <a:pt x="94" y="109"/>
                    <a:pt x="94" y="109"/>
                  </a:cubicBezTo>
                  <a:cubicBezTo>
                    <a:pt x="86" y="114"/>
                    <a:pt x="77" y="117"/>
                    <a:pt x="66" y="117"/>
                  </a:cubicBezTo>
                  <a:cubicBezTo>
                    <a:pt x="38" y="117"/>
                    <a:pt x="16" y="95"/>
                    <a:pt x="16" y="67"/>
                  </a:cubicBezTo>
                  <a:cubicBezTo>
                    <a:pt x="16" y="39"/>
                    <a:pt x="38" y="16"/>
                    <a:pt x="66" y="16"/>
                  </a:cubicBezTo>
                  <a:cubicBezTo>
                    <a:pt x="78" y="16"/>
                    <a:pt x="88" y="20"/>
                    <a:pt x="96" y="26"/>
                  </a:cubicBezTo>
                  <a:lnTo>
                    <a:pt x="119" y="26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</xdr:grpSp>
    </xdr:grpSp>
    <xdr:clientData/>
  </xdr:twoCellAnchor>
  <xdr:twoCellAnchor>
    <xdr:from>
      <xdr:col>7</xdr:col>
      <xdr:colOff>333375</xdr:colOff>
      <xdr:row>4</xdr:row>
      <xdr:rowOff>323845</xdr:rowOff>
    </xdr:from>
    <xdr:to>
      <xdr:col>9</xdr:col>
      <xdr:colOff>504825</xdr:colOff>
      <xdr:row>10</xdr:row>
      <xdr:rowOff>180975</xdr:rowOff>
    </xdr:to>
    <xdr:grpSp>
      <xdr:nvGrpSpPr>
        <xdr:cNvPr id="29" name="组合 28">
          <a:hlinkClick xmlns:r="http://schemas.openxmlformats.org/officeDocument/2006/relationships" r:id="rId2"/>
        </xdr:cNvPr>
        <xdr:cNvGrpSpPr/>
      </xdr:nvGrpSpPr>
      <xdr:grpSpPr>
        <a:xfrm>
          <a:off x="5753100" y="2266315"/>
          <a:ext cx="2038350" cy="1858010"/>
          <a:chOff x="5753100" y="2266945"/>
          <a:chExt cx="2038350" cy="1857380"/>
        </a:xfrm>
      </xdr:grpSpPr>
      <xdr:grpSp>
        <xdr:nvGrpSpPr>
          <xdr:cNvPr id="34" name="组合 33"/>
          <xdr:cNvGrpSpPr/>
        </xdr:nvGrpSpPr>
        <xdr:grpSpPr>
          <a:xfrm>
            <a:off x="5753100" y="3495675"/>
            <a:ext cx="2038350" cy="628650"/>
            <a:chOff x="3714750" y="1418724"/>
            <a:chExt cx="1343526" cy="466224"/>
          </a:xfrm>
        </xdr:grpSpPr>
        <xdr:sp>
          <xdr:nvSpPr>
            <xdr:cNvPr id="35" name="矩形 34"/>
            <xdr:cNvSpPr/>
          </xdr:nvSpPr>
          <xdr:spPr>
            <a:xfrm>
              <a:off x="3714750" y="1418724"/>
              <a:ext cx="1343526" cy="466224"/>
            </a:xfrm>
            <a:prstGeom prst="rect">
              <a:avLst/>
            </a:prstGeom>
            <a:gradFill>
              <a:gsLst>
                <a:gs pos="22000">
                  <a:schemeClr val="bg1">
                    <a:alpha val="40000"/>
                  </a:schemeClr>
                </a:gs>
                <a:gs pos="50000">
                  <a:srgbClr val="FFFFFF">
                    <a:alpha val="10000"/>
                  </a:srgbClr>
                </a:gs>
                <a:gs pos="50000">
                  <a:schemeClr val="bg1">
                    <a:alpha val="20000"/>
                  </a:schemeClr>
                </a:gs>
                <a:gs pos="15000">
                  <a:schemeClr val="bg1">
                    <a:alpha val="87000"/>
                  </a:schemeClr>
                </a:gs>
              </a:gsLst>
              <a:lin ang="2700000" scaled="0"/>
            </a:gradFill>
            <a:ln>
              <a:noFill/>
            </a:ln>
            <a:effectLst>
              <a:outerShdw blurRad="228600" dist="88900" dir="2700000" algn="tl" rotWithShape="0">
                <a:prstClr val="black">
                  <a:alpha val="1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/>
            <a:p>
              <a:pPr marL="0" indent="0" algn="ctr" defTabSz="914400" rtl="0" eaLnBrk="1" latinLnBrk="0" hangingPunct="1"/>
              <a:endParaRPr lang="zh-CN" altLang="en-US" sz="1800" kern="1200">
                <a:solidFill>
                  <a:prstClr val="white"/>
                </a:solidFill>
                <a:latin typeface="+mn-lt"/>
                <a:ea typeface="+mn-ea"/>
                <a:cs typeface="+mn-cs"/>
              </a:endParaRPr>
            </a:p>
          </xdr:txBody>
        </xdr:sp>
        <xdr:sp>
          <xdr:nvSpPr>
            <xdr:cNvPr id="36" name="矩形 35"/>
            <xdr:cNvSpPr/>
          </xdr:nvSpPr>
          <xdr:spPr>
            <a:xfrm>
              <a:off x="3766636" y="1452814"/>
              <a:ext cx="1239754" cy="398044"/>
            </a:xfrm>
            <a:prstGeom prst="rect">
              <a:avLst/>
            </a:prstGeom>
            <a:gradFill flip="none" rotWithShape="1">
              <a:gsLst>
                <a:gs pos="0">
                  <a:srgbClr val="F0F0F0"/>
                </a:gs>
                <a:gs pos="100000">
                  <a:srgbClr val="F1F1F1"/>
                </a:gs>
              </a:gsLst>
              <a:lin ang="2700000" scaled="1"/>
              <a:tileRect/>
            </a:gradFill>
            <a:ln w="28575">
              <a:gradFill flip="none" rotWithShape="1">
                <a:gsLst>
                  <a:gs pos="100000">
                    <a:srgbClr val="FFFFFF"/>
                  </a:gs>
                  <a:gs pos="0">
                    <a:srgbClr val="CECED0"/>
                  </a:gs>
                </a:gsLst>
                <a:lin ang="13500000" scaled="1"/>
                <a:tileRect/>
              </a:gradFill>
            </a:ln>
            <a:effectLst>
              <a:outerShdw blurRad="190500" dist="88900" dir="2700000" algn="tl" rotWithShape="0">
                <a:prstClr val="black">
                  <a:alpha val="3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/>
            <a:p>
              <a:pPr marL="0" indent="0" algn="ctr" defTabSz="914400" rtl="0" eaLnBrk="1" latinLnBrk="0" hangingPunct="1"/>
              <a:endParaRPr lang="zh-CN" altLang="en-US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>
          <xdr:nvSpPr>
            <xdr:cNvPr id="37" name="矩形 36"/>
            <xdr:cNvSpPr/>
          </xdr:nvSpPr>
          <xdr:spPr>
            <a:xfrm>
              <a:off x="3784935" y="1470285"/>
              <a:ext cx="1203156" cy="363103"/>
            </a:xfrm>
            <a:prstGeom prst="rect">
              <a:avLst/>
            </a:prstGeom>
            <a:gradFill>
              <a:gsLst>
                <a:gs pos="1000">
                  <a:schemeClr val="accent4">
                    <a:lumMod val="50000"/>
                  </a:schemeClr>
                </a:gs>
                <a:gs pos="44000">
                  <a:schemeClr val="accent4">
                    <a:lumMod val="40000"/>
                    <a:lumOff val="60000"/>
                  </a:schemeClr>
                </a:gs>
                <a:gs pos="98000">
                  <a:schemeClr val="accent4">
                    <a:lumMod val="50000"/>
                  </a:schemeClr>
                </a:gs>
              </a:gsLst>
              <a:lin ang="2700000" scaled="0"/>
            </a:gradFill>
            <a:ln w="222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/>
            <a:p>
              <a:pPr marL="0" indent="0" algn="ctr" defTabSz="914400" rtl="0" eaLnBrk="1" latinLnBrk="0" hangingPunct="1"/>
              <a:r>
                <a:rPr lang="zh-CN" altLang="en-US" sz="1600" b="1" kern="1200">
                  <a:solidFill>
                    <a:schemeClr val="tx1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rPr>
                <a:t>收入明细表</a:t>
              </a:r>
              <a:endParaRPr lang="zh-CN" altLang="en-US" sz="1600" b="1" kern="12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endParaRPr>
            </a:p>
          </xdr:txBody>
        </xdr:sp>
      </xdr:grpSp>
      <xdr:grpSp>
        <xdr:nvGrpSpPr>
          <xdr:cNvPr id="69" name="组合 68"/>
          <xdr:cNvGrpSpPr/>
        </xdr:nvGrpSpPr>
        <xdr:grpSpPr>
          <a:xfrm>
            <a:off x="6334125" y="2266945"/>
            <a:ext cx="1100226" cy="972000"/>
            <a:chOff x="6354876" y="4384378"/>
            <a:chExt cx="662601" cy="536245"/>
          </a:xfrm>
          <a:solidFill>
            <a:srgbClr val="00B0F0"/>
          </a:solidFill>
          <a:effectLst>
            <a:reflection stA="33000" endPos="14000" dist="50800" dir="5400000" sy="-100000" algn="bl" rotWithShape="0"/>
          </a:effectLst>
        </xdr:grpSpPr>
        <xdr:sp>
          <xdr:nvSpPr>
            <xdr:cNvPr id="70" name="Freeform 889"/>
            <xdr:cNvSpPr/>
          </xdr:nvSpPr>
          <xdr:spPr>
            <a:xfrm>
              <a:off x="6354876" y="4886722"/>
              <a:ext cx="662601" cy="33901"/>
            </a:xfrm>
            <a:custGeom>
              <a:avLst/>
              <a:gdLst>
                <a:gd name="T0" fmla="*/ 215 w 215"/>
                <a:gd name="T1" fmla="*/ 0 h 11"/>
                <a:gd name="T2" fmla="*/ 0 w 215"/>
                <a:gd name="T3" fmla="*/ 0 h 11"/>
                <a:gd name="T4" fmla="*/ 0 w 215"/>
                <a:gd name="T5" fmla="*/ 11 h 11"/>
                <a:gd name="T6" fmla="*/ 99 w 215"/>
                <a:gd name="T7" fmla="*/ 11 h 11"/>
                <a:gd name="T8" fmla="*/ 117 w 215"/>
                <a:gd name="T9" fmla="*/ 11 h 11"/>
                <a:gd name="T10" fmla="*/ 215 w 215"/>
                <a:gd name="T11" fmla="*/ 11 h 11"/>
                <a:gd name="T12" fmla="*/ 215 w 215"/>
                <a:gd name="T13" fmla="*/ 0 h 11"/>
                <a:gd name="T14" fmla="*/ 215 w 215"/>
                <a:gd name="T15" fmla="*/ 0 h 11"/>
                <a:gd name="T16" fmla="*/ 215 w 215"/>
                <a:gd name="T17" fmla="*/ 0 h 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15" h="11">
                  <a:moveTo>
                    <a:pt x="215" y="0"/>
                  </a:moveTo>
                  <a:lnTo>
                    <a:pt x="0" y="0"/>
                  </a:lnTo>
                  <a:lnTo>
                    <a:pt x="0" y="11"/>
                  </a:lnTo>
                  <a:lnTo>
                    <a:pt x="99" y="11"/>
                  </a:lnTo>
                  <a:lnTo>
                    <a:pt x="117" y="11"/>
                  </a:lnTo>
                  <a:lnTo>
                    <a:pt x="215" y="11"/>
                  </a:lnTo>
                  <a:lnTo>
                    <a:pt x="215" y="0"/>
                  </a:lnTo>
                  <a:lnTo>
                    <a:pt x="215" y="0"/>
                  </a:lnTo>
                  <a:lnTo>
                    <a:pt x="215" y="0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71" name="Freeform 890"/>
            <xdr:cNvSpPr>
              <a:spLocks noEditPoints="1"/>
            </xdr:cNvSpPr>
          </xdr:nvSpPr>
          <xdr:spPr>
            <a:xfrm>
              <a:off x="6561361" y="4482998"/>
              <a:ext cx="271204" cy="160257"/>
            </a:xfrm>
            <a:custGeom>
              <a:avLst/>
              <a:gdLst>
                <a:gd name="T0" fmla="*/ 59 w 78"/>
                <a:gd name="T1" fmla="*/ 46 h 46"/>
                <a:gd name="T2" fmla="*/ 70 w 78"/>
                <a:gd name="T3" fmla="*/ 4 h 46"/>
                <a:gd name="T4" fmla="*/ 78 w 78"/>
                <a:gd name="T5" fmla="*/ 4 h 46"/>
                <a:gd name="T6" fmla="*/ 78 w 78"/>
                <a:gd name="T7" fmla="*/ 0 h 46"/>
                <a:gd name="T8" fmla="*/ 65 w 78"/>
                <a:gd name="T9" fmla="*/ 0 h 46"/>
                <a:gd name="T10" fmla="*/ 59 w 78"/>
                <a:gd name="T11" fmla="*/ 13 h 46"/>
                <a:gd name="T12" fmla="*/ 51 w 78"/>
                <a:gd name="T13" fmla="*/ 13 h 46"/>
                <a:gd name="T14" fmla="*/ 0 w 78"/>
                <a:gd name="T15" fmla="*/ 13 h 46"/>
                <a:gd name="T16" fmla="*/ 8 w 78"/>
                <a:gd name="T17" fmla="*/ 46 h 46"/>
                <a:gd name="T18" fmla="*/ 59 w 78"/>
                <a:gd name="T19" fmla="*/ 46 h 46"/>
                <a:gd name="T20" fmla="*/ 46 w 78"/>
                <a:gd name="T21" fmla="*/ 38 h 46"/>
                <a:gd name="T22" fmla="*/ 19 w 78"/>
                <a:gd name="T23" fmla="*/ 38 h 46"/>
                <a:gd name="T24" fmla="*/ 17 w 78"/>
                <a:gd name="T25" fmla="*/ 35 h 46"/>
                <a:gd name="T26" fmla="*/ 17 w 78"/>
                <a:gd name="T27" fmla="*/ 33 h 46"/>
                <a:gd name="T28" fmla="*/ 19 w 78"/>
                <a:gd name="T29" fmla="*/ 32 h 46"/>
                <a:gd name="T30" fmla="*/ 46 w 78"/>
                <a:gd name="T31" fmla="*/ 32 h 46"/>
                <a:gd name="T32" fmla="*/ 48 w 78"/>
                <a:gd name="T33" fmla="*/ 35 h 46"/>
                <a:gd name="T34" fmla="*/ 46 w 78"/>
                <a:gd name="T35" fmla="*/ 38 h 46"/>
                <a:gd name="T36" fmla="*/ 13 w 78"/>
                <a:gd name="T37" fmla="*/ 22 h 46"/>
                <a:gd name="T38" fmla="*/ 15 w 78"/>
                <a:gd name="T39" fmla="*/ 21 h 46"/>
                <a:gd name="T40" fmla="*/ 50 w 78"/>
                <a:gd name="T41" fmla="*/ 21 h 46"/>
                <a:gd name="T42" fmla="*/ 53 w 78"/>
                <a:gd name="T43" fmla="*/ 24 h 46"/>
                <a:gd name="T44" fmla="*/ 50 w 78"/>
                <a:gd name="T45" fmla="*/ 27 h 46"/>
                <a:gd name="T46" fmla="*/ 15 w 78"/>
                <a:gd name="T47" fmla="*/ 27 h 46"/>
                <a:gd name="T48" fmla="*/ 12 w 78"/>
                <a:gd name="T49" fmla="*/ 24 h 46"/>
                <a:gd name="T50" fmla="*/ 13 w 78"/>
                <a:gd name="T51" fmla="*/ 22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</a:cxnLst>
              <a:rect l="0" t="0" r="r" b="b"/>
              <a:pathLst>
                <a:path w="78" h="46">
                  <a:moveTo>
                    <a:pt x="59" y="46"/>
                  </a:moveTo>
                  <a:cubicBezTo>
                    <a:pt x="70" y="4"/>
                    <a:pt x="70" y="4"/>
                    <a:pt x="70" y="4"/>
                  </a:cubicBezTo>
                  <a:cubicBezTo>
                    <a:pt x="78" y="4"/>
                    <a:pt x="78" y="4"/>
                    <a:pt x="78" y="4"/>
                  </a:cubicBezTo>
                  <a:cubicBezTo>
                    <a:pt x="78" y="0"/>
                    <a:pt x="78" y="0"/>
                    <a:pt x="78" y="0"/>
                  </a:cubicBezTo>
                  <a:cubicBezTo>
                    <a:pt x="65" y="0"/>
                    <a:pt x="65" y="0"/>
                    <a:pt x="65" y="0"/>
                  </a:cubicBezTo>
                  <a:cubicBezTo>
                    <a:pt x="59" y="13"/>
                    <a:pt x="59" y="13"/>
                    <a:pt x="59" y="13"/>
                  </a:cubicBezTo>
                  <a:cubicBezTo>
                    <a:pt x="51" y="13"/>
                    <a:pt x="51" y="13"/>
                    <a:pt x="51" y="13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8" y="46"/>
                    <a:pt x="8" y="46"/>
                    <a:pt x="8" y="46"/>
                  </a:cubicBezTo>
                  <a:lnTo>
                    <a:pt x="59" y="46"/>
                  </a:lnTo>
                  <a:close/>
                  <a:moveTo>
                    <a:pt x="46" y="38"/>
                  </a:moveTo>
                  <a:cubicBezTo>
                    <a:pt x="19" y="38"/>
                    <a:pt x="19" y="38"/>
                    <a:pt x="19" y="38"/>
                  </a:cubicBezTo>
                  <a:cubicBezTo>
                    <a:pt x="18" y="38"/>
                    <a:pt x="17" y="37"/>
                    <a:pt x="17" y="35"/>
                  </a:cubicBezTo>
                  <a:cubicBezTo>
                    <a:pt x="17" y="34"/>
                    <a:pt x="17" y="34"/>
                    <a:pt x="17" y="33"/>
                  </a:cubicBezTo>
                  <a:cubicBezTo>
                    <a:pt x="18" y="33"/>
                    <a:pt x="18" y="32"/>
                    <a:pt x="19" y="32"/>
                  </a:cubicBezTo>
                  <a:cubicBezTo>
                    <a:pt x="46" y="32"/>
                    <a:pt x="46" y="32"/>
                    <a:pt x="46" y="32"/>
                  </a:cubicBezTo>
                  <a:cubicBezTo>
                    <a:pt x="47" y="32"/>
                    <a:pt x="48" y="34"/>
                    <a:pt x="48" y="35"/>
                  </a:cubicBezTo>
                  <a:cubicBezTo>
                    <a:pt x="48" y="37"/>
                    <a:pt x="47" y="38"/>
                    <a:pt x="46" y="38"/>
                  </a:cubicBezTo>
                  <a:close/>
                  <a:moveTo>
                    <a:pt x="13" y="22"/>
                  </a:moveTo>
                  <a:cubicBezTo>
                    <a:pt x="14" y="21"/>
                    <a:pt x="14" y="21"/>
                    <a:pt x="15" y="21"/>
                  </a:cubicBezTo>
                  <a:cubicBezTo>
                    <a:pt x="50" y="21"/>
                    <a:pt x="50" y="21"/>
                    <a:pt x="50" y="21"/>
                  </a:cubicBezTo>
                  <a:cubicBezTo>
                    <a:pt x="51" y="21"/>
                    <a:pt x="53" y="22"/>
                    <a:pt x="53" y="24"/>
                  </a:cubicBezTo>
                  <a:cubicBezTo>
                    <a:pt x="53" y="25"/>
                    <a:pt x="51" y="27"/>
                    <a:pt x="50" y="27"/>
                  </a:cubicBezTo>
                  <a:cubicBezTo>
                    <a:pt x="15" y="27"/>
                    <a:pt x="15" y="27"/>
                    <a:pt x="15" y="27"/>
                  </a:cubicBezTo>
                  <a:cubicBezTo>
                    <a:pt x="14" y="27"/>
                    <a:pt x="12" y="25"/>
                    <a:pt x="12" y="24"/>
                  </a:cubicBezTo>
                  <a:cubicBezTo>
                    <a:pt x="12" y="23"/>
                    <a:pt x="13" y="22"/>
                    <a:pt x="13" y="2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72" name="Freeform 891"/>
            <xdr:cNvSpPr>
              <a:spLocks noEditPoints="1"/>
            </xdr:cNvSpPr>
          </xdr:nvSpPr>
          <xdr:spPr>
            <a:xfrm>
              <a:off x="6706209" y="4649419"/>
              <a:ext cx="49310" cy="49310"/>
            </a:xfrm>
            <a:custGeom>
              <a:avLst/>
              <a:gdLst>
                <a:gd name="T0" fmla="*/ 7 w 14"/>
                <a:gd name="T1" fmla="*/ 0 h 14"/>
                <a:gd name="T2" fmla="*/ 0 w 14"/>
                <a:gd name="T3" fmla="*/ 7 h 14"/>
                <a:gd name="T4" fmla="*/ 7 w 14"/>
                <a:gd name="T5" fmla="*/ 14 h 14"/>
                <a:gd name="T6" fmla="*/ 14 w 14"/>
                <a:gd name="T7" fmla="*/ 7 h 14"/>
                <a:gd name="T8" fmla="*/ 7 w 14"/>
                <a:gd name="T9" fmla="*/ 0 h 14"/>
                <a:gd name="T10" fmla="*/ 7 w 14"/>
                <a:gd name="T11" fmla="*/ 10 h 14"/>
                <a:gd name="T12" fmla="*/ 4 w 14"/>
                <a:gd name="T13" fmla="*/ 7 h 14"/>
                <a:gd name="T14" fmla="*/ 7 w 14"/>
                <a:gd name="T15" fmla="*/ 4 h 14"/>
                <a:gd name="T16" fmla="*/ 9 w 14"/>
                <a:gd name="T17" fmla="*/ 7 h 14"/>
                <a:gd name="T18" fmla="*/ 7 w 14"/>
                <a:gd name="T19" fmla="*/ 1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4" h="14">
                  <a:moveTo>
                    <a:pt x="7" y="0"/>
                  </a:moveTo>
                  <a:cubicBezTo>
                    <a:pt x="3" y="0"/>
                    <a:pt x="0" y="3"/>
                    <a:pt x="0" y="7"/>
                  </a:cubicBezTo>
                  <a:cubicBezTo>
                    <a:pt x="0" y="11"/>
                    <a:pt x="3" y="14"/>
                    <a:pt x="7" y="14"/>
                  </a:cubicBezTo>
                  <a:cubicBezTo>
                    <a:pt x="11" y="14"/>
                    <a:pt x="14" y="11"/>
                    <a:pt x="14" y="7"/>
                  </a:cubicBezTo>
                  <a:cubicBezTo>
                    <a:pt x="14" y="3"/>
                    <a:pt x="11" y="0"/>
                    <a:pt x="7" y="0"/>
                  </a:cubicBezTo>
                  <a:close/>
                  <a:moveTo>
                    <a:pt x="7" y="10"/>
                  </a:moveTo>
                  <a:cubicBezTo>
                    <a:pt x="5" y="10"/>
                    <a:pt x="4" y="9"/>
                    <a:pt x="4" y="7"/>
                  </a:cubicBezTo>
                  <a:cubicBezTo>
                    <a:pt x="4" y="6"/>
                    <a:pt x="5" y="4"/>
                    <a:pt x="7" y="4"/>
                  </a:cubicBezTo>
                  <a:cubicBezTo>
                    <a:pt x="8" y="4"/>
                    <a:pt x="9" y="6"/>
                    <a:pt x="9" y="7"/>
                  </a:cubicBezTo>
                  <a:cubicBezTo>
                    <a:pt x="9" y="9"/>
                    <a:pt x="8" y="10"/>
                    <a:pt x="7" y="1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73" name="Freeform 892"/>
            <xdr:cNvSpPr>
              <a:spLocks noEditPoints="1"/>
            </xdr:cNvSpPr>
          </xdr:nvSpPr>
          <xdr:spPr>
            <a:xfrm>
              <a:off x="6595262" y="4649419"/>
              <a:ext cx="52392" cy="49310"/>
            </a:xfrm>
            <a:custGeom>
              <a:avLst/>
              <a:gdLst>
                <a:gd name="T0" fmla="*/ 8 w 15"/>
                <a:gd name="T1" fmla="*/ 0 h 14"/>
                <a:gd name="T2" fmla="*/ 0 w 15"/>
                <a:gd name="T3" fmla="*/ 7 h 14"/>
                <a:gd name="T4" fmla="*/ 8 w 15"/>
                <a:gd name="T5" fmla="*/ 14 h 14"/>
                <a:gd name="T6" fmla="*/ 15 w 15"/>
                <a:gd name="T7" fmla="*/ 7 h 14"/>
                <a:gd name="T8" fmla="*/ 8 w 15"/>
                <a:gd name="T9" fmla="*/ 0 h 14"/>
                <a:gd name="T10" fmla="*/ 8 w 15"/>
                <a:gd name="T11" fmla="*/ 10 h 14"/>
                <a:gd name="T12" fmla="*/ 5 w 15"/>
                <a:gd name="T13" fmla="*/ 7 h 14"/>
                <a:gd name="T14" fmla="*/ 8 w 15"/>
                <a:gd name="T15" fmla="*/ 4 h 14"/>
                <a:gd name="T16" fmla="*/ 10 w 15"/>
                <a:gd name="T17" fmla="*/ 7 h 14"/>
                <a:gd name="T18" fmla="*/ 8 w 15"/>
                <a:gd name="T19" fmla="*/ 1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5" h="14">
                  <a:moveTo>
                    <a:pt x="8" y="0"/>
                  </a:moveTo>
                  <a:cubicBezTo>
                    <a:pt x="4" y="0"/>
                    <a:pt x="0" y="3"/>
                    <a:pt x="0" y="7"/>
                  </a:cubicBezTo>
                  <a:cubicBezTo>
                    <a:pt x="0" y="11"/>
                    <a:pt x="4" y="14"/>
                    <a:pt x="8" y="14"/>
                  </a:cubicBezTo>
                  <a:cubicBezTo>
                    <a:pt x="12" y="14"/>
                    <a:pt x="15" y="11"/>
                    <a:pt x="15" y="7"/>
                  </a:cubicBezTo>
                  <a:cubicBezTo>
                    <a:pt x="15" y="3"/>
                    <a:pt x="12" y="0"/>
                    <a:pt x="8" y="0"/>
                  </a:cubicBezTo>
                  <a:close/>
                  <a:moveTo>
                    <a:pt x="8" y="10"/>
                  </a:moveTo>
                  <a:cubicBezTo>
                    <a:pt x="6" y="10"/>
                    <a:pt x="5" y="9"/>
                    <a:pt x="5" y="7"/>
                  </a:cubicBezTo>
                  <a:cubicBezTo>
                    <a:pt x="5" y="6"/>
                    <a:pt x="6" y="4"/>
                    <a:pt x="8" y="4"/>
                  </a:cubicBezTo>
                  <a:cubicBezTo>
                    <a:pt x="9" y="4"/>
                    <a:pt x="10" y="6"/>
                    <a:pt x="10" y="7"/>
                  </a:cubicBezTo>
                  <a:cubicBezTo>
                    <a:pt x="10" y="9"/>
                    <a:pt x="9" y="10"/>
                    <a:pt x="8" y="1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74" name="Freeform 893"/>
            <xdr:cNvSpPr>
              <a:spLocks noEditPoints="1"/>
            </xdr:cNvSpPr>
          </xdr:nvSpPr>
          <xdr:spPr>
            <a:xfrm>
              <a:off x="6425759" y="4384378"/>
              <a:ext cx="530081" cy="419134"/>
            </a:xfrm>
            <a:custGeom>
              <a:avLst/>
              <a:gdLst>
                <a:gd name="T0" fmla="*/ 4 w 152"/>
                <a:gd name="T1" fmla="*/ 120 h 120"/>
                <a:gd name="T2" fmla="*/ 148 w 152"/>
                <a:gd name="T3" fmla="*/ 120 h 120"/>
                <a:gd name="T4" fmla="*/ 152 w 152"/>
                <a:gd name="T5" fmla="*/ 116 h 120"/>
                <a:gd name="T6" fmla="*/ 152 w 152"/>
                <a:gd name="T7" fmla="*/ 4 h 120"/>
                <a:gd name="T8" fmla="*/ 148 w 152"/>
                <a:gd name="T9" fmla="*/ 0 h 120"/>
                <a:gd name="T10" fmla="*/ 4 w 152"/>
                <a:gd name="T11" fmla="*/ 0 h 120"/>
                <a:gd name="T12" fmla="*/ 0 w 152"/>
                <a:gd name="T13" fmla="*/ 4 h 120"/>
                <a:gd name="T14" fmla="*/ 0 w 152"/>
                <a:gd name="T15" fmla="*/ 116 h 120"/>
                <a:gd name="T16" fmla="*/ 4 w 152"/>
                <a:gd name="T17" fmla="*/ 120 h 120"/>
                <a:gd name="T18" fmla="*/ 83 w 152"/>
                <a:gd name="T19" fmla="*/ 114 h 120"/>
                <a:gd name="T20" fmla="*/ 68 w 152"/>
                <a:gd name="T21" fmla="*/ 114 h 120"/>
                <a:gd name="T22" fmla="*/ 65 w 152"/>
                <a:gd name="T23" fmla="*/ 111 h 120"/>
                <a:gd name="T24" fmla="*/ 66 w 152"/>
                <a:gd name="T25" fmla="*/ 109 h 120"/>
                <a:gd name="T26" fmla="*/ 68 w 152"/>
                <a:gd name="T27" fmla="*/ 108 h 120"/>
                <a:gd name="T28" fmla="*/ 83 w 152"/>
                <a:gd name="T29" fmla="*/ 108 h 120"/>
                <a:gd name="T30" fmla="*/ 86 w 152"/>
                <a:gd name="T31" fmla="*/ 111 h 120"/>
                <a:gd name="T32" fmla="*/ 83 w 152"/>
                <a:gd name="T33" fmla="*/ 114 h 120"/>
                <a:gd name="T34" fmla="*/ 14 w 152"/>
                <a:gd name="T35" fmla="*/ 14 h 120"/>
                <a:gd name="T36" fmla="*/ 17 w 152"/>
                <a:gd name="T37" fmla="*/ 11 h 120"/>
                <a:gd name="T38" fmla="*/ 134 w 152"/>
                <a:gd name="T39" fmla="*/ 11 h 120"/>
                <a:gd name="T40" fmla="*/ 138 w 152"/>
                <a:gd name="T41" fmla="*/ 14 h 120"/>
                <a:gd name="T42" fmla="*/ 138 w 152"/>
                <a:gd name="T43" fmla="*/ 100 h 120"/>
                <a:gd name="T44" fmla="*/ 134 w 152"/>
                <a:gd name="T45" fmla="*/ 103 h 120"/>
                <a:gd name="T46" fmla="*/ 17 w 152"/>
                <a:gd name="T47" fmla="*/ 103 h 120"/>
                <a:gd name="T48" fmla="*/ 14 w 152"/>
                <a:gd name="T49" fmla="*/ 100 h 120"/>
                <a:gd name="T50" fmla="*/ 14 w 152"/>
                <a:gd name="T51" fmla="*/ 14 h 12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</a:cxnLst>
              <a:rect l="0" t="0" r="r" b="b"/>
              <a:pathLst>
                <a:path w="152" h="120">
                  <a:moveTo>
                    <a:pt x="4" y="120"/>
                  </a:moveTo>
                  <a:cubicBezTo>
                    <a:pt x="148" y="120"/>
                    <a:pt x="148" y="120"/>
                    <a:pt x="148" y="120"/>
                  </a:cubicBezTo>
                  <a:cubicBezTo>
                    <a:pt x="150" y="120"/>
                    <a:pt x="152" y="118"/>
                    <a:pt x="152" y="116"/>
                  </a:cubicBezTo>
                  <a:cubicBezTo>
                    <a:pt x="152" y="4"/>
                    <a:pt x="152" y="4"/>
                    <a:pt x="152" y="4"/>
                  </a:cubicBezTo>
                  <a:cubicBezTo>
                    <a:pt x="152" y="2"/>
                    <a:pt x="150" y="0"/>
                    <a:pt x="148" y="0"/>
                  </a:cubicBezTo>
                  <a:cubicBezTo>
                    <a:pt x="4" y="0"/>
                    <a:pt x="4" y="0"/>
                    <a:pt x="4" y="0"/>
                  </a:cubicBezTo>
                  <a:cubicBezTo>
                    <a:pt x="2" y="0"/>
                    <a:pt x="0" y="2"/>
                    <a:pt x="0" y="4"/>
                  </a:cubicBezTo>
                  <a:cubicBezTo>
                    <a:pt x="0" y="116"/>
                    <a:pt x="0" y="116"/>
                    <a:pt x="0" y="116"/>
                  </a:cubicBezTo>
                  <a:cubicBezTo>
                    <a:pt x="0" y="118"/>
                    <a:pt x="2" y="120"/>
                    <a:pt x="4" y="120"/>
                  </a:cubicBezTo>
                  <a:close/>
                  <a:moveTo>
                    <a:pt x="83" y="114"/>
                  </a:moveTo>
                  <a:cubicBezTo>
                    <a:pt x="68" y="114"/>
                    <a:pt x="68" y="114"/>
                    <a:pt x="68" y="114"/>
                  </a:cubicBezTo>
                  <a:cubicBezTo>
                    <a:pt x="66" y="114"/>
                    <a:pt x="65" y="113"/>
                    <a:pt x="65" y="111"/>
                  </a:cubicBezTo>
                  <a:cubicBezTo>
                    <a:pt x="65" y="110"/>
                    <a:pt x="65" y="109"/>
                    <a:pt x="66" y="109"/>
                  </a:cubicBezTo>
                  <a:cubicBezTo>
                    <a:pt x="66" y="108"/>
                    <a:pt x="67" y="108"/>
                    <a:pt x="68" y="108"/>
                  </a:cubicBezTo>
                  <a:cubicBezTo>
                    <a:pt x="83" y="108"/>
                    <a:pt x="83" y="108"/>
                    <a:pt x="83" y="108"/>
                  </a:cubicBezTo>
                  <a:cubicBezTo>
                    <a:pt x="85" y="108"/>
                    <a:pt x="86" y="109"/>
                    <a:pt x="86" y="111"/>
                  </a:cubicBezTo>
                  <a:cubicBezTo>
                    <a:pt x="86" y="113"/>
                    <a:pt x="85" y="114"/>
                    <a:pt x="83" y="114"/>
                  </a:cubicBezTo>
                  <a:close/>
                  <a:moveTo>
                    <a:pt x="14" y="14"/>
                  </a:moveTo>
                  <a:cubicBezTo>
                    <a:pt x="14" y="13"/>
                    <a:pt x="15" y="11"/>
                    <a:pt x="17" y="11"/>
                  </a:cubicBezTo>
                  <a:cubicBezTo>
                    <a:pt x="134" y="11"/>
                    <a:pt x="134" y="11"/>
                    <a:pt x="134" y="11"/>
                  </a:cubicBezTo>
                  <a:cubicBezTo>
                    <a:pt x="136" y="11"/>
                    <a:pt x="138" y="13"/>
                    <a:pt x="138" y="14"/>
                  </a:cubicBezTo>
                  <a:cubicBezTo>
                    <a:pt x="138" y="100"/>
                    <a:pt x="138" y="100"/>
                    <a:pt x="138" y="100"/>
                  </a:cubicBezTo>
                  <a:cubicBezTo>
                    <a:pt x="138" y="102"/>
                    <a:pt x="136" y="103"/>
                    <a:pt x="134" y="103"/>
                  </a:cubicBezTo>
                  <a:cubicBezTo>
                    <a:pt x="17" y="103"/>
                    <a:pt x="17" y="103"/>
                    <a:pt x="17" y="103"/>
                  </a:cubicBezTo>
                  <a:cubicBezTo>
                    <a:pt x="15" y="103"/>
                    <a:pt x="14" y="102"/>
                    <a:pt x="14" y="100"/>
                  </a:cubicBezTo>
                  <a:lnTo>
                    <a:pt x="14" y="14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75" name="Freeform 894"/>
            <xdr:cNvSpPr/>
          </xdr:nvSpPr>
          <xdr:spPr>
            <a:xfrm>
              <a:off x="6354876" y="4812757"/>
              <a:ext cx="662601" cy="64719"/>
            </a:xfrm>
            <a:custGeom>
              <a:avLst/>
              <a:gdLst>
                <a:gd name="T0" fmla="*/ 195 w 215"/>
                <a:gd name="T1" fmla="*/ 0 h 21"/>
                <a:gd name="T2" fmla="*/ 108 w 215"/>
                <a:gd name="T3" fmla="*/ 0 h 21"/>
                <a:gd name="T4" fmla="*/ 21 w 215"/>
                <a:gd name="T5" fmla="*/ 0 h 21"/>
                <a:gd name="T6" fmla="*/ 0 w 215"/>
                <a:gd name="T7" fmla="*/ 21 h 21"/>
                <a:gd name="T8" fmla="*/ 215 w 215"/>
                <a:gd name="T9" fmla="*/ 21 h 21"/>
                <a:gd name="T10" fmla="*/ 195 w 215"/>
                <a:gd name="T11" fmla="*/ 0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15" h="21">
                  <a:moveTo>
                    <a:pt x="195" y="0"/>
                  </a:moveTo>
                  <a:lnTo>
                    <a:pt x="108" y="0"/>
                  </a:lnTo>
                  <a:lnTo>
                    <a:pt x="21" y="0"/>
                  </a:lnTo>
                  <a:lnTo>
                    <a:pt x="0" y="21"/>
                  </a:lnTo>
                  <a:lnTo>
                    <a:pt x="215" y="21"/>
                  </a:lnTo>
                  <a:lnTo>
                    <a:pt x="195" y="0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104900" y="561975"/>
              <a:ext cx="266700" cy="4572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</xdr:row>
          <xdr:rowOff>9525</xdr:rowOff>
        </xdr:from>
        <xdr:to>
          <xdr:col>4</xdr:col>
          <xdr:colOff>0</xdr:colOff>
          <xdr:row>2</xdr:row>
          <xdr:rowOff>0</xdr:rowOff>
        </xdr:to>
        <xdr:sp>
          <xdr:nvSpPr>
            <xdr:cNvPr id="1032" name="Spinne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2466975" y="552450"/>
              <a:ext cx="276225" cy="4667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114300</xdr:colOff>
      <xdr:row>0</xdr:row>
      <xdr:rowOff>85725</xdr:rowOff>
    </xdr:from>
    <xdr:to>
      <xdr:col>8</xdr:col>
      <xdr:colOff>771525</xdr:colOff>
      <xdr:row>0</xdr:row>
      <xdr:rowOff>457200</xdr:rowOff>
    </xdr:to>
    <xdr:sp>
      <xdr:nvSpPr>
        <xdr:cNvPr id="11" name="椭圆 10">
          <a:hlinkClick xmlns:r="http://schemas.openxmlformats.org/officeDocument/2006/relationships" r:id="rId1"/>
        </xdr:cNvPr>
        <xdr:cNvSpPr/>
      </xdr:nvSpPr>
      <xdr:spPr>
        <a:xfrm>
          <a:off x="5848350" y="85725"/>
          <a:ext cx="657225" cy="371475"/>
        </a:xfrm>
        <a:prstGeom prst="ellipse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首页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1381125</xdr:colOff>
      <xdr:row>0</xdr:row>
      <xdr:rowOff>66675</xdr:rowOff>
    </xdr:from>
    <xdr:to>
      <xdr:col>4</xdr:col>
      <xdr:colOff>2038350</xdr:colOff>
      <xdr:row>0</xdr:row>
      <xdr:rowOff>438150</xdr:rowOff>
    </xdr:to>
    <xdr:sp>
      <xdr:nvSpPr>
        <xdr:cNvPr id="2" name="椭圆 1">
          <a:hlinkClick xmlns:r="http://schemas.openxmlformats.org/officeDocument/2006/relationships" r:id="rId1"/>
        </xdr:cNvPr>
        <xdr:cNvSpPr/>
      </xdr:nvSpPr>
      <xdr:spPr>
        <a:xfrm>
          <a:off x="7058025" y="66675"/>
          <a:ext cx="657225" cy="371475"/>
        </a:xfrm>
        <a:prstGeom prst="ellipse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首页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波形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1:XEW15"/>
  <sheetViews>
    <sheetView tabSelected="1" workbookViewId="0">
      <selection activeCell="B2" sqref="B2:L2"/>
    </sheetView>
  </sheetViews>
  <sheetFormatPr defaultColWidth="9" defaultRowHeight="13.5"/>
  <cols>
    <col min="1" max="1" width="17.125" style="59" customWidth="1"/>
    <col min="2" max="7" width="9" style="59"/>
    <col min="8" max="8" width="15.5" style="59" customWidth="1"/>
    <col min="9" max="16384" width="9" style="59"/>
  </cols>
  <sheetData>
    <row r="1" ht="38.25" customHeight="1"/>
    <row r="2" ht="62.25" customHeight="1" spans="2:16377">
      <c r="B2" s="60" t="s">
        <v>0</v>
      </c>
      <c r="C2" s="61"/>
      <c r="D2" s="61"/>
      <c r="E2" s="61"/>
      <c r="F2" s="61"/>
      <c r="G2" s="61"/>
      <c r="H2" s="61"/>
      <c r="I2" s="61"/>
      <c r="J2" s="61"/>
      <c r="K2" s="61"/>
      <c r="L2" s="65"/>
      <c r="XEW2" s="67" t="s">
        <v>1</v>
      </c>
    </row>
    <row r="3" ht="26.25" customHeight="1" spans="2:12">
      <c r="B3" s="62"/>
      <c r="C3" s="63"/>
      <c r="D3" s="63"/>
      <c r="E3" s="63"/>
      <c r="F3" s="63"/>
      <c r="G3" s="63"/>
      <c r="H3" s="63"/>
      <c r="I3" s="63"/>
      <c r="J3" s="63"/>
      <c r="K3" s="63"/>
      <c r="L3" s="66"/>
    </row>
    <row r="4" ht="26.25" customHeight="1" spans="2:12">
      <c r="B4" s="62"/>
      <c r="C4" s="63"/>
      <c r="D4" s="63"/>
      <c r="E4" s="63"/>
      <c r="F4" s="63"/>
      <c r="G4" s="63"/>
      <c r="H4" s="63"/>
      <c r="I4" s="63"/>
      <c r="J4" s="63"/>
      <c r="K4" s="63"/>
      <c r="L4" s="66"/>
    </row>
    <row r="5" ht="26.25" customHeight="1" spans="2:12">
      <c r="B5" s="62"/>
      <c r="C5" s="63"/>
      <c r="D5" s="63"/>
      <c r="E5" s="63"/>
      <c r="F5" s="63"/>
      <c r="G5" s="63"/>
      <c r="H5" s="63"/>
      <c r="I5" s="63"/>
      <c r="J5" s="63"/>
      <c r="K5" s="63"/>
      <c r="L5" s="66"/>
    </row>
    <row r="6" ht="26.25" customHeight="1" spans="2:12">
      <c r="B6" s="62"/>
      <c r="C6" s="63"/>
      <c r="D6" s="63"/>
      <c r="E6" s="63"/>
      <c r="F6" s="63"/>
      <c r="G6" s="63"/>
      <c r="H6" s="63"/>
      <c r="I6" s="63"/>
      <c r="J6" s="63"/>
      <c r="K6" s="63"/>
      <c r="L6" s="66"/>
    </row>
    <row r="7" ht="26.25" customHeight="1" spans="2:12">
      <c r="B7" s="62"/>
      <c r="C7" s="63"/>
      <c r="D7" s="63"/>
      <c r="E7" s="63"/>
      <c r="F7" s="63"/>
      <c r="G7" s="63"/>
      <c r="H7" s="63"/>
      <c r="I7" s="63"/>
      <c r="J7" s="63"/>
      <c r="K7" s="63"/>
      <c r="L7" s="66"/>
    </row>
    <row r="8" ht="26.25" customHeight="1" spans="2:12">
      <c r="B8" s="62"/>
      <c r="C8" s="63"/>
      <c r="D8" s="63"/>
      <c r="E8" s="63"/>
      <c r="F8" s="63"/>
      <c r="G8" s="63"/>
      <c r="H8" s="63"/>
      <c r="I8" s="63"/>
      <c r="J8" s="63"/>
      <c r="K8" s="63"/>
      <c r="L8" s="66"/>
    </row>
    <row r="9" ht="26.25" customHeight="1" spans="2:12">
      <c r="B9" s="62"/>
      <c r="C9" s="63"/>
      <c r="D9" s="63"/>
      <c r="E9" s="63"/>
      <c r="F9" s="63"/>
      <c r="G9" s="63"/>
      <c r="H9" s="63"/>
      <c r="I9" s="63"/>
      <c r="J9" s="63"/>
      <c r="K9" s="63"/>
      <c r="L9" s="66"/>
    </row>
    <row r="10" ht="26.25" customHeight="1" spans="2:12">
      <c r="B10" s="62"/>
      <c r="C10" s="63"/>
      <c r="D10" s="63"/>
      <c r="E10" s="63"/>
      <c r="F10" s="63"/>
      <c r="G10" s="63"/>
      <c r="H10" s="63"/>
      <c r="I10" s="63"/>
      <c r="J10" s="63"/>
      <c r="K10" s="63"/>
      <c r="L10" s="66"/>
    </row>
    <row r="11" ht="26.25" customHeight="1" spans="2:12">
      <c r="B11" s="62"/>
      <c r="C11" s="63"/>
      <c r="D11" s="63"/>
      <c r="E11" s="63"/>
      <c r="F11" s="63"/>
      <c r="G11" s="63"/>
      <c r="H11" s="63"/>
      <c r="I11" s="63"/>
      <c r="J11" s="63"/>
      <c r="K11" s="63"/>
      <c r="L11" s="66"/>
    </row>
    <row r="12" ht="26.25" customHeight="1" spans="2:12">
      <c r="B12" s="62"/>
      <c r="C12" s="63"/>
      <c r="D12" s="63"/>
      <c r="E12" s="63"/>
      <c r="F12" s="63"/>
      <c r="G12" s="63"/>
      <c r="H12" s="63"/>
      <c r="I12" s="63"/>
      <c r="J12" s="63"/>
      <c r="K12" s="63"/>
      <c r="L12" s="66"/>
    </row>
    <row r="13" ht="26.25" customHeight="1" spans="2:12">
      <c r="B13" s="62"/>
      <c r="C13" s="63"/>
      <c r="D13" s="63"/>
      <c r="E13" s="63"/>
      <c r="F13" s="63"/>
      <c r="G13" s="63"/>
      <c r="H13" s="63"/>
      <c r="I13" s="63"/>
      <c r="J13" s="63"/>
      <c r="K13" s="63"/>
      <c r="L13" s="66"/>
    </row>
    <row r="14" ht="26.25" customHeight="1" spans="2:12"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</row>
    <row r="15" ht="26.25" customHeight="1" spans="2:12"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</row>
  </sheetData>
  <mergeCells count="2">
    <mergeCell ref="B2:L2"/>
    <mergeCell ref="B14:L15"/>
  </mergeCell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15"/>
  <sheetViews>
    <sheetView showGridLines="0" showZeros="0" workbookViewId="0">
      <selection activeCell="I19" sqref="I19"/>
    </sheetView>
  </sheetViews>
  <sheetFormatPr defaultColWidth="9" defaultRowHeight="13.5"/>
  <cols>
    <col min="8" max="8" width="12.25" customWidth="1"/>
    <col min="9" max="9" width="11" customWidth="1"/>
    <col min="10" max="10" width="3.5" style="7" customWidth="1"/>
    <col min="11" max="11" width="8" customWidth="1"/>
    <col min="12" max="13" width="17.125" customWidth="1"/>
    <col min="14" max="17" width="11.25" customWidth="1"/>
  </cols>
  <sheetData>
    <row r="1" ht="42.75" customHeight="1" spans="1:13">
      <c r="A1" s="8" t="s">
        <v>2</v>
      </c>
      <c r="B1" s="8"/>
      <c r="C1" s="8"/>
      <c r="D1" s="8"/>
      <c r="E1" s="8"/>
      <c r="F1" s="8"/>
      <c r="G1" s="8"/>
      <c r="H1" s="8"/>
      <c r="I1" s="8"/>
      <c r="J1" s="40"/>
      <c r="K1" s="41" t="s">
        <v>3</v>
      </c>
      <c r="L1" s="42" t="s">
        <v>4</v>
      </c>
      <c r="M1" s="43" t="s">
        <v>5</v>
      </c>
    </row>
    <row r="2" ht="37.5" customHeight="1" spans="1:13">
      <c r="A2" s="9">
        <v>2019</v>
      </c>
      <c r="B2" s="10">
        <v>1901</v>
      </c>
      <c r="C2" s="11">
        <v>7</v>
      </c>
      <c r="D2" s="12">
        <v>1</v>
      </c>
      <c r="E2" s="13"/>
      <c r="F2" s="14">
        <f>IF(C2=2,IF(OR(A2/400=INT(A2/400),AND(A2/4=INT(A2/4),A2/100&lt;&gt;INT(A2/100))),29,28),IF(OR(C2=4,C2=6,C2=9,C2=11),30,31))</f>
        <v>31</v>
      </c>
      <c r="G2" s="15"/>
      <c r="H2" s="16" t="s">
        <v>6</v>
      </c>
      <c r="I2" s="44"/>
      <c r="J2" s="45"/>
      <c r="K2" s="46">
        <v>1</v>
      </c>
      <c r="L2" s="46" t="s">
        <v>7</v>
      </c>
      <c r="M2" s="46" t="s">
        <v>8</v>
      </c>
    </row>
    <row r="3" ht="37.5" customHeight="1" spans="1:13">
      <c r="A3" s="17" t="s">
        <v>9</v>
      </c>
      <c r="B3" s="18" t="s">
        <v>10</v>
      </c>
      <c r="C3" s="18" t="s">
        <v>11</v>
      </c>
      <c r="D3" s="18" t="s">
        <v>12</v>
      </c>
      <c r="E3" s="18" t="s">
        <v>13</v>
      </c>
      <c r="F3" s="18" t="s">
        <v>14</v>
      </c>
      <c r="G3" s="19" t="s">
        <v>15</v>
      </c>
      <c r="H3" s="20"/>
      <c r="I3" s="47"/>
      <c r="J3" s="45"/>
      <c r="K3" s="48" t="s">
        <v>16</v>
      </c>
      <c r="L3" s="48"/>
      <c r="M3" s="48"/>
    </row>
    <row r="4" ht="37.5" customHeight="1" spans="1:10">
      <c r="A4" s="21">
        <f>IF(A11=1,1,0)</f>
        <v>0</v>
      </c>
      <c r="B4" s="22">
        <f t="shared" ref="B4:G4" si="0">IF(A4&gt;0,A4+1,IF(B11=1,1,0))</f>
        <v>1</v>
      </c>
      <c r="C4" s="22">
        <f t="shared" si="0"/>
        <v>2</v>
      </c>
      <c r="D4" s="22">
        <f t="shared" si="0"/>
        <v>3</v>
      </c>
      <c r="E4" s="22">
        <f t="shared" si="0"/>
        <v>4</v>
      </c>
      <c r="F4" s="22">
        <f t="shared" si="0"/>
        <v>5</v>
      </c>
      <c r="G4" s="23">
        <f t="shared" si="0"/>
        <v>6</v>
      </c>
      <c r="H4" s="24">
        <f ca="1">TODAY()</f>
        <v>44254</v>
      </c>
      <c r="I4" s="49"/>
      <c r="J4" s="50"/>
    </row>
    <row r="5" ht="37.5" customHeight="1" spans="1:10">
      <c r="A5" s="25">
        <f>G4+1</f>
        <v>7</v>
      </c>
      <c r="B5" s="26">
        <f>A5+1</f>
        <v>8</v>
      </c>
      <c r="C5" s="26">
        <f t="shared" ref="C5:G5" si="1">B5+1</f>
        <v>9</v>
      </c>
      <c r="D5" s="26">
        <f t="shared" si="1"/>
        <v>10</v>
      </c>
      <c r="E5" s="26">
        <f t="shared" si="1"/>
        <v>11</v>
      </c>
      <c r="F5" s="26">
        <f t="shared" si="1"/>
        <v>12</v>
      </c>
      <c r="G5" s="27">
        <f t="shared" si="1"/>
        <v>13</v>
      </c>
      <c r="H5" s="28" t="e">
        <f ca="1">VLOOKUP(H4,'2-工作记录'!B:E,3,0)</f>
        <v>#N/A</v>
      </c>
      <c r="I5" s="51"/>
      <c r="J5" s="52"/>
    </row>
    <row r="6" ht="37.5" customHeight="1" spans="1:10">
      <c r="A6" s="21">
        <f>G5+1</f>
        <v>14</v>
      </c>
      <c r="B6" s="22">
        <f t="shared" ref="B6:G7" si="2">A6+1</f>
        <v>15</v>
      </c>
      <c r="C6" s="22">
        <f>B6+1</f>
        <v>16</v>
      </c>
      <c r="D6" s="22">
        <f t="shared" si="2"/>
        <v>17</v>
      </c>
      <c r="E6" s="22">
        <f t="shared" si="2"/>
        <v>18</v>
      </c>
      <c r="F6" s="22">
        <f t="shared" si="2"/>
        <v>19</v>
      </c>
      <c r="G6" s="23">
        <f t="shared" si="2"/>
        <v>20</v>
      </c>
      <c r="H6" s="29"/>
      <c r="I6" s="53"/>
      <c r="J6" s="52"/>
    </row>
    <row r="7" ht="37.5" customHeight="1" spans="1:10">
      <c r="A7" s="25">
        <f t="shared" ref="A7" si="3">G6+1</f>
        <v>21</v>
      </c>
      <c r="B7" s="26">
        <f t="shared" si="2"/>
        <v>22</v>
      </c>
      <c r="C7" s="26">
        <f t="shared" si="2"/>
        <v>23</v>
      </c>
      <c r="D7" s="26">
        <f t="shared" si="2"/>
        <v>24</v>
      </c>
      <c r="E7" s="26">
        <f t="shared" si="2"/>
        <v>25</v>
      </c>
      <c r="F7" s="26">
        <f t="shared" si="2"/>
        <v>26</v>
      </c>
      <c r="G7" s="27">
        <f t="shared" si="2"/>
        <v>27</v>
      </c>
      <c r="H7" s="29"/>
      <c r="I7" s="53"/>
      <c r="J7" s="52"/>
    </row>
    <row r="8" ht="37.5" customHeight="1" spans="1:10">
      <c r="A8" s="21">
        <f>IF(G7+1&gt;$F$2,0,G7+1)</f>
        <v>28</v>
      </c>
      <c r="B8" s="22">
        <f t="shared" ref="B8:G9" si="4">IF(A8=0,0,IF(A8+1&gt;$F$2,0,A8+1))</f>
        <v>29</v>
      </c>
      <c r="C8" s="22">
        <f t="shared" si="4"/>
        <v>30</v>
      </c>
      <c r="D8" s="22">
        <f t="shared" si="4"/>
        <v>31</v>
      </c>
      <c r="E8" s="22">
        <f t="shared" si="4"/>
        <v>0</v>
      </c>
      <c r="F8" s="22">
        <f t="shared" si="4"/>
        <v>0</v>
      </c>
      <c r="G8" s="23">
        <f t="shared" si="4"/>
        <v>0</v>
      </c>
      <c r="H8" s="29"/>
      <c r="I8" s="53"/>
      <c r="J8" s="52"/>
    </row>
    <row r="9" ht="37.5" customHeight="1" spans="1:10">
      <c r="A9" s="30">
        <f>IF(G8=0,0,IF(G8+1&gt;$F$2,0,G8+1))</f>
        <v>0</v>
      </c>
      <c r="B9" s="31">
        <f>IF(A9=0,0,IF(A9+1&gt;$F$2,0,A9+1))</f>
        <v>0</v>
      </c>
      <c r="C9" s="31">
        <f t="shared" si="4"/>
        <v>0</v>
      </c>
      <c r="D9" s="31">
        <f t="shared" si="4"/>
        <v>0</v>
      </c>
      <c r="E9" s="31">
        <f t="shared" si="4"/>
        <v>0</v>
      </c>
      <c r="F9" s="31">
        <f t="shared" si="4"/>
        <v>0</v>
      </c>
      <c r="G9" s="32">
        <f t="shared" si="4"/>
        <v>0</v>
      </c>
      <c r="H9" s="33"/>
      <c r="I9" s="54"/>
      <c r="J9" s="52"/>
    </row>
    <row r="10" ht="16.5" hidden="1" spans="1:10">
      <c r="A10" s="34">
        <v>7</v>
      </c>
      <c r="B10" s="35">
        <v>1</v>
      </c>
      <c r="C10" s="35">
        <v>2</v>
      </c>
      <c r="D10" s="35">
        <v>3</v>
      </c>
      <c r="E10" s="35">
        <v>4</v>
      </c>
      <c r="F10" s="35">
        <v>5</v>
      </c>
      <c r="G10" s="36">
        <v>6</v>
      </c>
      <c r="H10" s="37"/>
      <c r="I10" s="55"/>
      <c r="J10" s="56"/>
    </row>
    <row r="11" ht="16.5" hidden="1" spans="1:10">
      <c r="A11" s="38">
        <f>IF(WEEKDAY(DATE($A$2,$C$2,1),2)=A10,1,0)</f>
        <v>0</v>
      </c>
      <c r="B11" s="38">
        <f t="shared" ref="B11:G11" si="5">IF(WEEKDAY(DATE($A$2,$C$2,1),2)=B10,1,0)</f>
        <v>1</v>
      </c>
      <c r="C11" s="38">
        <f t="shared" si="5"/>
        <v>0</v>
      </c>
      <c r="D11" s="38">
        <f t="shared" si="5"/>
        <v>0</v>
      </c>
      <c r="E11" s="38">
        <f t="shared" si="5"/>
        <v>0</v>
      </c>
      <c r="F11" s="38">
        <f t="shared" si="5"/>
        <v>0</v>
      </c>
      <c r="G11" s="38">
        <f t="shared" si="5"/>
        <v>0</v>
      </c>
      <c r="H11" s="39"/>
      <c r="I11" s="57"/>
      <c r="J11" s="56"/>
    </row>
    <row r="12" ht="16.5" hidden="1" spans="1:10">
      <c r="A12" s="1"/>
      <c r="B12" s="1"/>
      <c r="C12" s="1"/>
      <c r="D12" s="1"/>
      <c r="E12" s="1"/>
      <c r="F12" s="1"/>
      <c r="G12" s="1"/>
      <c r="H12" s="1"/>
      <c r="I12" s="1"/>
      <c r="J12" s="58"/>
    </row>
    <row r="13" hidden="1"/>
    <row r="14" hidden="1"/>
    <row r="15" ht="21" customHeight="1"/>
  </sheetData>
  <mergeCells count="7">
    <mergeCell ref="A1:I1"/>
    <mergeCell ref="A2:B2"/>
    <mergeCell ref="C2:D2"/>
    <mergeCell ref="K3:M3"/>
    <mergeCell ref="H4:I4"/>
    <mergeCell ref="H5:I9"/>
    <mergeCell ref="H2:I3"/>
  </mergeCells>
  <conditionalFormatting sqref="A$1:G$1048576">
    <cfRule type="cellIs" dxfId="0" priority="1" operator="equal">
      <formula>DAY(TODAY())</formula>
    </cfRule>
  </conditionalFormatting>
  <conditionalFormatting sqref="K$1:Q$1048576">
    <cfRule type="cellIs" dxfId="0" priority="3" operator="equal">
      <formula>DAY(TODAY())</formula>
    </cfRule>
  </conditionalFormatting>
  <dataValidations count="1">
    <dataValidation type="list" allowBlank="1" showInputMessage="1" showErrorMessage="1" sqref="L2:M2 V2:W2">
      <formula1>"是,否"</formula1>
    </dataValidation>
  </dataValidation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name="Spinner 7" r:id="rId4">
              <controlPr defaultSize="0">
                <anchor moveWithCells="1" sizeWithCells="1">
                  <from>
                    <xdr:col>1</xdr:col>
                    <xdr:colOff>419100</xdr:colOff>
                    <xdr:row>1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name="Spinner 8" r:id="rId5">
              <controlPr defaultSize="0">
                <anchor moveWithCells="1" sizeWithCells="1">
                  <from>
                    <xdr:col>3</xdr:col>
                    <xdr:colOff>409575</xdr:colOff>
                    <xdr:row>1</xdr:row>
                    <xdr:rowOff>9525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2"/>
  <sheetViews>
    <sheetView showGridLines="0" workbookViewId="0">
      <selection activeCell="D15" sqref="D15"/>
    </sheetView>
  </sheetViews>
  <sheetFormatPr defaultColWidth="9" defaultRowHeight="32.25" customHeight="1" outlineLevelCol="4"/>
  <cols>
    <col min="1" max="1" width="6.25" style="1" customWidth="1"/>
    <col min="2" max="2" width="20.75" style="1" customWidth="1"/>
    <col min="3" max="3" width="24.5" style="1" customWidth="1"/>
    <col min="4" max="4" width="23" style="1" customWidth="1"/>
    <col min="5" max="5" width="28.5" style="1" customWidth="1"/>
    <col min="6" max="16384" width="9" style="1"/>
  </cols>
  <sheetData>
    <row r="1" ht="39" customHeight="1" spans="1:5">
      <c r="A1" s="2" t="s">
        <v>17</v>
      </c>
      <c r="B1" s="2"/>
      <c r="C1" s="2"/>
      <c r="D1" s="2"/>
      <c r="E1" s="2"/>
    </row>
    <row r="2" ht="24" customHeight="1" spans="1:5">
      <c r="A2" s="3" t="s">
        <v>3</v>
      </c>
      <c r="B2" s="3" t="s">
        <v>18</v>
      </c>
      <c r="C2" s="3" t="s">
        <v>19</v>
      </c>
      <c r="D2" s="3" t="s">
        <v>20</v>
      </c>
      <c r="E2" s="3" t="s">
        <v>21</v>
      </c>
    </row>
    <row r="3" ht="51.75" customHeight="1" spans="1:5">
      <c r="A3" s="3">
        <v>1</v>
      </c>
      <c r="B3" s="4">
        <v>43674</v>
      </c>
      <c r="C3" s="5" t="s">
        <v>22</v>
      </c>
      <c r="D3" s="5" t="s">
        <v>23</v>
      </c>
      <c r="E3" s="6"/>
    </row>
    <row r="4" ht="51.75" customHeight="1" spans="1:5">
      <c r="A4" s="3">
        <v>2</v>
      </c>
      <c r="B4" s="4">
        <v>43675</v>
      </c>
      <c r="C4" s="5" t="s">
        <v>22</v>
      </c>
      <c r="D4" s="5" t="s">
        <v>23</v>
      </c>
      <c r="E4" s="6"/>
    </row>
    <row r="5" ht="51.75" customHeight="1" spans="1:5">
      <c r="A5" s="3">
        <v>3</v>
      </c>
      <c r="B5" s="4">
        <v>43676</v>
      </c>
      <c r="C5" s="5" t="s">
        <v>22</v>
      </c>
      <c r="D5" s="5" t="s">
        <v>23</v>
      </c>
      <c r="E5" s="6"/>
    </row>
    <row r="6" ht="42.75" customHeight="1" spans="1:5">
      <c r="A6" s="3">
        <v>4</v>
      </c>
      <c r="B6" s="4">
        <v>43677</v>
      </c>
      <c r="C6" s="5" t="s">
        <v>22</v>
      </c>
      <c r="D6" s="5" t="s">
        <v>23</v>
      </c>
      <c r="E6" s="6"/>
    </row>
    <row r="7" ht="42.75" customHeight="1" spans="1:5">
      <c r="A7" s="3">
        <v>5</v>
      </c>
      <c r="B7" s="4">
        <v>43678</v>
      </c>
      <c r="C7" s="5" t="s">
        <v>22</v>
      </c>
      <c r="D7" s="5" t="s">
        <v>23</v>
      </c>
      <c r="E7" s="6"/>
    </row>
    <row r="8" ht="42.75" customHeight="1" spans="1:5">
      <c r="A8" s="3">
        <v>6</v>
      </c>
      <c r="B8" s="4">
        <v>43679</v>
      </c>
      <c r="C8" s="5" t="s">
        <v>22</v>
      </c>
      <c r="D8" s="5" t="s">
        <v>23</v>
      </c>
      <c r="E8" s="6"/>
    </row>
    <row r="9" ht="42.75" customHeight="1" spans="1:5">
      <c r="A9" s="3">
        <v>7</v>
      </c>
      <c r="B9" s="4">
        <v>43680</v>
      </c>
      <c r="C9" s="5" t="s">
        <v>22</v>
      </c>
      <c r="D9" s="5" t="s">
        <v>23</v>
      </c>
      <c r="E9" s="6"/>
    </row>
    <row r="10" ht="42.75" customHeight="1" spans="1:5">
      <c r="A10" s="3">
        <v>8</v>
      </c>
      <c r="B10" s="4">
        <v>43681</v>
      </c>
      <c r="C10" s="5" t="s">
        <v>22</v>
      </c>
      <c r="D10" s="5" t="s">
        <v>23</v>
      </c>
      <c r="E10" s="6"/>
    </row>
    <row r="11" ht="42.75" customHeight="1" spans="1:5">
      <c r="A11" s="3">
        <v>9</v>
      </c>
      <c r="B11" s="4">
        <v>43682</v>
      </c>
      <c r="C11" s="5" t="s">
        <v>22</v>
      </c>
      <c r="D11" s="5" t="s">
        <v>23</v>
      </c>
      <c r="E11" s="6"/>
    </row>
    <row r="12" ht="42.75" customHeight="1" spans="1:5">
      <c r="A12" s="3">
        <v>10</v>
      </c>
      <c r="B12" s="4">
        <v>43683</v>
      </c>
      <c r="C12" s="5" t="s">
        <v>22</v>
      </c>
      <c r="D12" s="5" t="s">
        <v>23</v>
      </c>
      <c r="E12" s="6"/>
    </row>
  </sheetData>
  <autoFilter ref="A2:E12">
    <extLst/>
  </autoFilter>
  <mergeCells count="1">
    <mergeCell ref="A1:E1"/>
  </mergeCells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目录</vt:lpstr>
      <vt:lpstr>1-万年历提醒</vt:lpstr>
      <vt:lpstr>2-工作记录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2021-02-27T08:24:35Z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