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55"/>
  </bookViews>
  <sheets>
    <sheet name="Sheet1" sheetId="1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D4" authorId="0">
      <text>
        <r>
          <rPr>
            <b/>
            <sz val="9"/>
            <rFont val="宋体"/>
            <charset val="134"/>
          </rPr>
          <t>作者：</t>
        </r>
      </text>
    </comment>
  </commentList>
</comments>
</file>

<file path=xl/sharedStrings.xml><?xml version="1.0" encoding="utf-8"?>
<sst xmlns="http://schemas.openxmlformats.org/spreadsheetml/2006/main" count="20">
  <si>
    <r>
      <rPr>
        <b/>
        <sz val="22"/>
        <color rgb="FF00B0F0"/>
        <rFont val="微软雅黑"/>
        <charset val="134"/>
      </rPr>
      <t xml:space="preserve"> 工作计划行程安排表（日历版）
</t>
    </r>
    <r>
      <rPr>
        <sz val="12"/>
        <color theme="1"/>
        <rFont val="微软雅黑"/>
        <charset val="134"/>
      </rPr>
      <t xml:space="preserve">Work schedule (calendar version) </t>
    </r>
  </si>
  <si>
    <r>
      <rPr>
        <b/>
        <sz val="12"/>
        <color theme="0"/>
        <rFont val="微软雅黑"/>
        <charset val="134"/>
      </rPr>
      <t>重点工作跟进</t>
    </r>
    <r>
      <rPr>
        <sz val="11"/>
        <color theme="0"/>
        <rFont val="微软雅黑"/>
        <charset val="134"/>
      </rPr>
      <t xml:space="preserve">
Key work follow-up</t>
    </r>
  </si>
  <si>
    <t>星期日</t>
  </si>
  <si>
    <t>星期一</t>
  </si>
  <si>
    <t>星期二</t>
  </si>
  <si>
    <t>星期三</t>
  </si>
  <si>
    <t>星期四</t>
  </si>
  <si>
    <t>星期五</t>
  </si>
  <si>
    <t>星期六</t>
  </si>
  <si>
    <t>1：新员工培训
2：筹备年中会议
3：组织部门考核</t>
  </si>
  <si>
    <t>1：召开工作例会
2：筹备年中会议</t>
  </si>
  <si>
    <t>1：新员工培训
2：汇报上周工作总结</t>
  </si>
  <si>
    <t>1：下个月工作计划
2：指标数据收集</t>
  </si>
  <si>
    <t>1：组织部门考核
2：计算考核结果</t>
  </si>
  <si>
    <t>1：绩效改进计划
2：绩效结果反馈</t>
  </si>
  <si>
    <t>1：核算月度工资
2：工资表报批</t>
  </si>
  <si>
    <t>1：年度培训计划
2：员工绩效面谈</t>
  </si>
  <si>
    <t>1：召开工作例会
2：工资表报批</t>
  </si>
  <si>
    <t>1：计算考核结果
2：组织部门考核</t>
  </si>
  <si>
    <t>本文档由稻壳儿奋斗的小青年设计制作，盗版必究。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</si>
</sst>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General\ &quot;月&quot;"/>
    <numFmt numFmtId="177" formatCode="General\ &quot;年&quot;"/>
    <numFmt numFmtId="178" formatCode="[$-804]aaaa;@"/>
  </numFmts>
  <fonts count="33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b/>
      <sz val="18"/>
      <color rgb="FF00B0F0"/>
      <name val="微软雅黑"/>
      <charset val="134"/>
    </font>
    <font>
      <sz val="11"/>
      <color theme="1" tint="0.0499893185216834"/>
      <name val="微软雅黑"/>
      <charset val="134"/>
    </font>
    <font>
      <sz val="11"/>
      <color rgb="FF00B0F0"/>
      <name val="微软雅黑"/>
      <charset val="134"/>
    </font>
    <font>
      <sz val="11"/>
      <color theme="0"/>
      <name val="微软雅黑"/>
      <charset val="134"/>
    </font>
    <font>
      <sz val="10"/>
      <color rgb="FFFF0000"/>
      <name val="微软雅黑"/>
      <charset val="134"/>
    </font>
    <font>
      <sz val="10"/>
      <color theme="1" tint="0.0499893185216834"/>
      <name val="微软雅黑"/>
      <charset val="134"/>
    </font>
    <font>
      <sz val="10"/>
      <color theme="0"/>
      <name val="微软雅黑"/>
      <charset val="134"/>
    </font>
    <font>
      <sz val="10"/>
      <color theme="1" tint="0.349986266670736"/>
      <name val="微软雅黑"/>
      <charset val="134"/>
    </font>
    <font>
      <sz val="10"/>
      <color theme="1" tint="0.249977111117893"/>
      <name val="微软雅黑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22"/>
      <color rgb="FF00B0F0"/>
      <name val="微软雅黑"/>
      <charset val="134"/>
    </font>
    <font>
      <sz val="12"/>
      <color theme="1"/>
      <name val="微软雅黑"/>
      <charset val="134"/>
    </font>
    <font>
      <b/>
      <sz val="12"/>
      <color theme="0"/>
      <name val="微软雅黑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349986266670736"/>
        <bgColor indexed="64"/>
      </patternFill>
    </fill>
    <fill>
      <patternFill patternType="solid">
        <fgColor rgb="FFFFB5B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30">
    <border>
      <left/>
      <right/>
      <top/>
      <bottom/>
      <diagonal/>
    </border>
    <border>
      <left style="thin">
        <color theme="0" tint="-0.149998474074526"/>
      </left>
      <right/>
      <top style="thin">
        <color theme="0" tint="-0.149998474074526"/>
      </top>
      <bottom style="thin">
        <color theme="0" tint="-0.149998474074526"/>
      </bottom>
      <diagonal/>
    </border>
    <border>
      <left/>
      <right style="thin">
        <color theme="1" tint="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 style="thin">
        <color theme="1" tint="0.149998474074526"/>
      </left>
      <right/>
      <top style="thin">
        <color theme="0" tint="-0.149998474074526"/>
      </top>
      <bottom style="thin">
        <color theme="0" tint="-0.149998474074526"/>
      </bottom>
      <diagonal/>
    </border>
    <border>
      <left/>
      <right/>
      <top style="thin">
        <color theme="0" tint="-0.149998474074526"/>
      </top>
      <bottom style="thin">
        <color theme="0" tint="-0.14999847407452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00B0F0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theme="0" tint="-0.149998474074526"/>
      </bottom>
      <diagonal/>
    </border>
    <border>
      <left/>
      <right/>
      <top style="medium">
        <color theme="1"/>
      </top>
      <bottom style="thin">
        <color theme="0" tint="-0.149998474074526"/>
      </bottom>
      <diagonal/>
    </border>
    <border>
      <left style="medium">
        <color theme="1"/>
      </left>
      <right style="thin">
        <color theme="0" tint="-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 style="thin">
        <color theme="0" tint="-0.149998474074526"/>
      </left>
      <right style="thin">
        <color theme="0" tint="-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theme="1"/>
      </left>
      <right/>
      <top/>
      <bottom style="thin">
        <color theme="0" tint="-0.149998474074526"/>
      </bottom>
      <diagonal/>
    </border>
    <border>
      <left/>
      <right/>
      <top/>
      <bottom style="thin">
        <color theme="0" tint="-0.149998474074526"/>
      </bottom>
      <diagonal/>
    </border>
    <border>
      <left style="medium">
        <color theme="1"/>
      </left>
      <right style="thin">
        <color theme="0" tint="-0.149998474074526"/>
      </right>
      <top style="thin">
        <color theme="0" tint="-0.149998474074526"/>
      </top>
      <bottom style="medium">
        <color theme="1"/>
      </bottom>
      <diagonal/>
    </border>
    <border>
      <left style="thin">
        <color theme="0" tint="-0.149998474074526"/>
      </left>
      <right style="thin">
        <color theme="0" tint="-0.149998474074526"/>
      </right>
      <top style="thin">
        <color theme="0" tint="-0.149998474074526"/>
      </top>
      <bottom style="medium">
        <color theme="1"/>
      </bottom>
      <diagonal/>
    </border>
    <border>
      <left style="thin">
        <color theme="0" tint="-0.149998474074526"/>
      </left>
      <right/>
      <top style="thin">
        <color theme="0" tint="-0.149998474074526"/>
      </top>
      <bottom style="medium">
        <color theme="1"/>
      </bottom>
      <diagonal/>
    </border>
    <border>
      <left style="medium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 style="thin">
        <color theme="1" tint="0.149998474074526"/>
      </right>
      <top/>
      <bottom style="thin">
        <color theme="1" tint="0.149998474074526"/>
      </bottom>
      <diagonal/>
    </border>
    <border>
      <left style="thin">
        <color theme="1" tint="0.149998474074526"/>
      </left>
      <right/>
      <top/>
      <bottom style="thin">
        <color theme="1" tint="0.149998474074526"/>
      </bottom>
      <diagonal/>
    </border>
    <border>
      <left style="medium">
        <color theme="1" tint="0.149998474074526"/>
      </left>
      <right style="thin">
        <color theme="1" tint="0.149998474074526"/>
      </right>
      <top style="thin">
        <color theme="1" tint="0.149998474074526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3" fillId="19" borderId="2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26" applyNumberFormat="0" applyFont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9" fillId="0" borderId="24" applyNumberFormat="0" applyFill="0" applyAlignment="0" applyProtection="0">
      <alignment vertical="center"/>
    </xf>
    <xf numFmtId="0" fontId="25" fillId="0" borderId="24" applyNumberFormat="0" applyFill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5" fillId="0" borderId="28" applyNumberFormat="0" applyFill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2" fillId="10" borderId="22" applyNumberFormat="0" applyAlignment="0" applyProtection="0">
      <alignment vertical="center"/>
    </xf>
    <xf numFmtId="0" fontId="20" fillId="10" borderId="25" applyNumberFormat="0" applyAlignment="0" applyProtection="0">
      <alignment vertical="center"/>
    </xf>
    <xf numFmtId="0" fontId="28" fillId="26" borderId="29" applyNumberFormat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8" fillId="0" borderId="23" applyNumberFormat="0" applyFill="0" applyAlignment="0" applyProtection="0">
      <alignment vertical="center"/>
    </xf>
    <xf numFmtId="0" fontId="24" fillId="0" borderId="27" applyNumberFormat="0" applyFill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1" fillId="3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</cellStyleXfs>
  <cellXfs count="3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2" fillId="0" borderId="0" xfId="0" applyFont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177" fontId="3" fillId="2" borderId="2" xfId="0" applyNumberFormat="1" applyFont="1" applyFill="1" applyBorder="1" applyAlignment="1">
      <alignment horizontal="center" vertical="center"/>
    </xf>
    <xf numFmtId="176" fontId="3" fillId="2" borderId="3" xfId="0" applyNumberFormat="1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horizontal="center" vertical="center" wrapText="1"/>
    </xf>
    <xf numFmtId="178" fontId="6" fillId="4" borderId="6" xfId="0" applyNumberFormat="1" applyFont="1" applyFill="1" applyBorder="1" applyAlignment="1">
      <alignment horizontal="center" vertical="center"/>
    </xf>
    <xf numFmtId="178" fontId="7" fillId="5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horizontal="left" vertical="center" wrapText="1"/>
    </xf>
    <xf numFmtId="0" fontId="1" fillId="0" borderId="12" xfId="0" applyFont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left" vertical="center" wrapText="1"/>
    </xf>
    <xf numFmtId="0" fontId="9" fillId="2" borderId="16" xfId="0" applyFont="1" applyFill="1" applyBorder="1" applyAlignment="1">
      <alignment horizontal="left" vertical="center" wrapText="1"/>
    </xf>
    <xf numFmtId="0" fontId="9" fillId="2" borderId="17" xfId="0" applyFont="1" applyFill="1" applyBorder="1" applyAlignment="1">
      <alignment horizontal="left" vertical="center" wrapText="1"/>
    </xf>
    <xf numFmtId="0" fontId="1" fillId="0" borderId="7" xfId="0" applyFont="1" applyBorder="1" applyAlignment="1">
      <alignment horizontal="center" vertical="center"/>
    </xf>
    <xf numFmtId="0" fontId="6" fillId="2" borderId="0" xfId="0" applyFont="1" applyFill="1" applyBorder="1" applyAlignment="1">
      <alignment horizontal="left" vertical="top"/>
    </xf>
    <xf numFmtId="0" fontId="10" fillId="2" borderId="0" xfId="0" applyFont="1" applyFill="1" applyBorder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5" fillId="0" borderId="0" xfId="0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Spin" dx="16" fmlaLink="$A$2" max="2050" min="1900" page="10" val="2019"/>
</file>

<file path=xl/ctrlProps/ctrlProp2.xml><?xml version="1.0" encoding="utf-8"?>
<formControlPr xmlns="http://schemas.microsoft.com/office/spreadsheetml/2009/9/main" objectType="Spin" dx="16" fmlaLink="$C$2" max="12" min="1" page="10" val="1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</xdr:row>
          <xdr:rowOff>9525</xdr:rowOff>
        </xdr:from>
        <xdr:to>
          <xdr:col>2</xdr:col>
          <xdr:colOff>0</xdr:colOff>
          <xdr:row>1</xdr:row>
          <xdr:rowOff>304800</xdr:rowOff>
        </xdr:to>
        <xdr:sp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724025" y="657225"/>
              <a:ext cx="981075" cy="2952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9525</xdr:rowOff>
        </xdr:from>
        <xdr:to>
          <xdr:col>4</xdr:col>
          <xdr:colOff>0</xdr:colOff>
          <xdr:row>2</xdr:row>
          <xdr:rowOff>0</xdr:rowOff>
        </xdr:to>
        <xdr:sp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4429125" y="657225"/>
              <a:ext cx="981075" cy="30734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1262986</xdr:colOff>
      <xdr:row>0</xdr:row>
      <xdr:rowOff>581025</xdr:rowOff>
    </xdr:to>
    <xdr:pic>
      <xdr:nvPicPr>
        <xdr:cNvPr id="4" name="图片 3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262380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vmlDrawing" Target="../drawings/vmlDrawing2.v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XDE72"/>
  <sheetViews>
    <sheetView showGridLines="0" showZeros="0" tabSelected="1" workbookViewId="0">
      <selection activeCell="K5" sqref="K5"/>
    </sheetView>
  </sheetViews>
  <sheetFormatPr defaultColWidth="9.125" defaultRowHeight="16.5"/>
  <cols>
    <col min="1" max="7" width="17.75" style="2" customWidth="1"/>
    <col min="8" max="8" width="19.875" style="2" customWidth="1"/>
    <col min="9" max="16384" width="9.125" style="2"/>
  </cols>
  <sheetData>
    <row r="1" ht="51" customHeight="1" spans="1:8">
      <c r="A1" s="3" t="s">
        <v>0</v>
      </c>
      <c r="B1" s="3"/>
      <c r="C1" s="3"/>
      <c r="D1" s="3"/>
      <c r="E1" s="3"/>
      <c r="F1" s="3"/>
      <c r="G1" s="3"/>
      <c r="H1" s="3"/>
    </row>
    <row r="2" ht="24.95" customHeight="1" spans="1:8">
      <c r="A2" s="4">
        <v>2019</v>
      </c>
      <c r="B2" s="5">
        <v>1901</v>
      </c>
      <c r="C2" s="6">
        <v>12</v>
      </c>
      <c r="D2" s="7">
        <v>1</v>
      </c>
      <c r="E2" s="8"/>
      <c r="F2" s="9">
        <f>IF(C2=2,IF(OR(A2/400=INT(A2/400),AND(A2/4=INT(A2/4),A2/100&lt;&gt;INT(A2/100))),29,28),IF(OR(C2=4,C2=6,C2=9,C2=11),30,31))</f>
        <v>31</v>
      </c>
      <c r="G2" s="10"/>
      <c r="H2" s="11" t="s">
        <v>1</v>
      </c>
    </row>
    <row r="3" ht="28.5" customHeight="1" spans="1:8">
      <c r="A3" s="12" t="s">
        <v>2</v>
      </c>
      <c r="B3" s="13" t="s">
        <v>3</v>
      </c>
      <c r="C3" s="13" t="s">
        <v>4</v>
      </c>
      <c r="D3" s="13" t="s">
        <v>5</v>
      </c>
      <c r="E3" s="13" t="s">
        <v>6</v>
      </c>
      <c r="F3" s="13" t="s">
        <v>7</v>
      </c>
      <c r="G3" s="14" t="s">
        <v>8</v>
      </c>
      <c r="H3" s="15"/>
    </row>
    <row r="4" s="1" customFormat="1" ht="18" customHeight="1" spans="1:8">
      <c r="A4" s="16">
        <f>IF(A66=1,1,0)</f>
        <v>1</v>
      </c>
      <c r="B4" s="17">
        <f t="shared" ref="B4:G4" si="0">IF(A4&gt;0,A4+1,IF(B66=1,1,0))</f>
        <v>2</v>
      </c>
      <c r="C4" s="17">
        <f t="shared" si="0"/>
        <v>3</v>
      </c>
      <c r="D4" s="17">
        <f t="shared" si="0"/>
        <v>4</v>
      </c>
      <c r="E4" s="17">
        <f t="shared" si="0"/>
        <v>5</v>
      </c>
      <c r="F4" s="17">
        <f t="shared" si="0"/>
        <v>6</v>
      </c>
      <c r="G4" s="17">
        <f t="shared" si="0"/>
        <v>7</v>
      </c>
      <c r="H4" s="18" t="s">
        <v>9</v>
      </c>
    </row>
    <row r="5" s="1" customFormat="1" ht="64.5" customHeight="1" spans="1:8">
      <c r="A5" s="19" t="s">
        <v>10</v>
      </c>
      <c r="B5" s="20" t="s">
        <v>11</v>
      </c>
      <c r="C5" s="20" t="s">
        <v>12</v>
      </c>
      <c r="D5" s="20" t="s">
        <v>13</v>
      </c>
      <c r="E5" s="20" t="s">
        <v>14</v>
      </c>
      <c r="F5" s="20" t="s">
        <v>15</v>
      </c>
      <c r="G5" s="21" t="s">
        <v>16</v>
      </c>
      <c r="H5" s="22"/>
    </row>
    <row r="6" s="1" customFormat="1" ht="18" customHeight="1" spans="1:8">
      <c r="A6" s="23">
        <f>G4+1</f>
        <v>8</v>
      </c>
      <c r="B6" s="24">
        <f t="shared" ref="B6:G6" si="1">A6+1</f>
        <v>9</v>
      </c>
      <c r="C6" s="24">
        <f t="shared" si="1"/>
        <v>10</v>
      </c>
      <c r="D6" s="24">
        <f t="shared" si="1"/>
        <v>11</v>
      </c>
      <c r="E6" s="24">
        <f t="shared" si="1"/>
        <v>12</v>
      </c>
      <c r="F6" s="24">
        <f t="shared" si="1"/>
        <v>13</v>
      </c>
      <c r="G6" s="24">
        <f t="shared" si="1"/>
        <v>14</v>
      </c>
      <c r="H6" s="22"/>
    </row>
    <row r="7" s="1" customFormat="1" ht="64.5" customHeight="1" spans="1:8">
      <c r="A7" s="19" t="s">
        <v>17</v>
      </c>
      <c r="B7" s="20" t="s">
        <v>18</v>
      </c>
      <c r="C7" s="20"/>
      <c r="D7" s="20"/>
      <c r="E7" s="20"/>
      <c r="F7" s="20"/>
      <c r="G7" s="21"/>
      <c r="H7" s="22"/>
    </row>
    <row r="8" s="1" customFormat="1" ht="18" customHeight="1" spans="1:16333">
      <c r="A8" s="25">
        <f>G6+1</f>
        <v>15</v>
      </c>
      <c r="B8" s="26">
        <f t="shared" ref="B8:G8" si="2">A8+1</f>
        <v>16</v>
      </c>
      <c r="C8" s="26">
        <f t="shared" si="2"/>
        <v>17</v>
      </c>
      <c r="D8" s="26">
        <f t="shared" si="2"/>
        <v>18</v>
      </c>
      <c r="E8" s="26">
        <f t="shared" si="2"/>
        <v>19</v>
      </c>
      <c r="F8" s="26">
        <f t="shared" si="2"/>
        <v>20</v>
      </c>
      <c r="G8" s="26">
        <f t="shared" si="2"/>
        <v>21</v>
      </c>
      <c r="H8" s="22"/>
      <c r="XDE8" s="33" t="s">
        <v>19</v>
      </c>
    </row>
    <row r="9" s="1" customFormat="1" ht="64.5" customHeight="1" spans="1:16333">
      <c r="A9" s="19"/>
      <c r="B9" s="20"/>
      <c r="C9" s="20"/>
      <c r="D9" s="20"/>
      <c r="E9" s="20"/>
      <c r="F9" s="20"/>
      <c r="G9" s="21"/>
      <c r="H9" s="22"/>
      <c r="XDE9" s="33"/>
    </row>
    <row r="10" s="1" customFormat="1" ht="18" customHeight="1" spans="1:8">
      <c r="A10" s="23">
        <f>G8+1</f>
        <v>22</v>
      </c>
      <c r="B10" s="24">
        <f t="shared" ref="B10:G10" si="3">A10+1</f>
        <v>23</v>
      </c>
      <c r="C10" s="24">
        <f t="shared" si="3"/>
        <v>24</v>
      </c>
      <c r="D10" s="24">
        <f t="shared" si="3"/>
        <v>25</v>
      </c>
      <c r="E10" s="24">
        <f t="shared" si="3"/>
        <v>26</v>
      </c>
      <c r="F10" s="24">
        <f t="shared" si="3"/>
        <v>27</v>
      </c>
      <c r="G10" s="24">
        <f t="shared" si="3"/>
        <v>28</v>
      </c>
      <c r="H10" s="22"/>
    </row>
    <row r="11" s="1" customFormat="1" ht="64.5" customHeight="1" spans="1:8">
      <c r="A11" s="19"/>
      <c r="B11" s="20"/>
      <c r="C11" s="20"/>
      <c r="D11" s="20"/>
      <c r="E11" s="20"/>
      <c r="F11" s="20"/>
      <c r="G11" s="21"/>
      <c r="H11" s="22"/>
    </row>
    <row r="12" s="1" customFormat="1" ht="18" customHeight="1" spans="1:8">
      <c r="A12" s="25">
        <f>IF(G10+1&gt;$F$2,0,G10+1)</f>
        <v>29</v>
      </c>
      <c r="B12" s="26">
        <f t="shared" ref="B12:G12" si="4">IF(A12=0,0,IF(A12+1&gt;$F$2,0,A12+1))</f>
        <v>30</v>
      </c>
      <c r="C12" s="26">
        <f t="shared" si="4"/>
        <v>31</v>
      </c>
      <c r="D12" s="26">
        <f t="shared" si="4"/>
        <v>0</v>
      </c>
      <c r="E12" s="26">
        <f t="shared" si="4"/>
        <v>0</v>
      </c>
      <c r="F12" s="26">
        <f t="shared" si="4"/>
        <v>0</v>
      </c>
      <c r="G12" s="26">
        <f t="shared" si="4"/>
        <v>0</v>
      </c>
      <c r="H12" s="22"/>
    </row>
    <row r="13" s="1" customFormat="1" ht="64.5" customHeight="1" spans="1:8">
      <c r="A13" s="19"/>
      <c r="B13" s="20"/>
      <c r="C13" s="20"/>
      <c r="D13" s="20"/>
      <c r="E13" s="20"/>
      <c r="F13" s="20"/>
      <c r="G13" s="21"/>
      <c r="H13" s="22"/>
    </row>
    <row r="14" s="1" customFormat="1" ht="18" customHeight="1" spans="1:8">
      <c r="A14" s="23">
        <f>IF(G12=0,0,IF(G12+1&gt;$F$2,0,G12+1))</f>
        <v>0</v>
      </c>
      <c r="B14" s="24">
        <f t="shared" ref="B14:G14" si="5">IF(A14=0,0,IF(A14+1&gt;$F$2,0,A14+1))</f>
        <v>0</v>
      </c>
      <c r="C14" s="24">
        <f t="shared" si="5"/>
        <v>0</v>
      </c>
      <c r="D14" s="24">
        <f t="shared" si="5"/>
        <v>0</v>
      </c>
      <c r="E14" s="24">
        <f t="shared" si="5"/>
        <v>0</v>
      </c>
      <c r="F14" s="24">
        <f t="shared" si="5"/>
        <v>0</v>
      </c>
      <c r="G14" s="24">
        <f t="shared" si="5"/>
        <v>0</v>
      </c>
      <c r="H14" s="22"/>
    </row>
    <row r="15" s="1" customFormat="1" ht="64.5" customHeight="1" spans="1:8">
      <c r="A15" s="27"/>
      <c r="B15" s="28"/>
      <c r="C15" s="28"/>
      <c r="D15" s="28"/>
      <c r="E15" s="28"/>
      <c r="F15" s="28"/>
      <c r="G15" s="29"/>
      <c r="H15" s="30"/>
    </row>
    <row r="16" ht="24.95" customHeight="1" spans="1:7">
      <c r="A16" s="31"/>
      <c r="B16" s="32"/>
      <c r="C16" s="32"/>
      <c r="D16" s="32"/>
      <c r="E16" s="32"/>
      <c r="F16" s="32"/>
      <c r="G16" s="31"/>
    </row>
    <row r="21" spans="4:4">
      <c r="D21"/>
    </row>
    <row r="65" ht="22.35" customHeight="1" spans="1:7">
      <c r="A65" s="34">
        <v>7</v>
      </c>
      <c r="B65" s="35">
        <v>1</v>
      </c>
      <c r="C65" s="35">
        <v>2</v>
      </c>
      <c r="D65" s="35">
        <v>3</v>
      </c>
      <c r="E65" s="35">
        <v>4</v>
      </c>
      <c r="F65" s="35">
        <v>5</v>
      </c>
      <c r="G65" s="36">
        <v>6</v>
      </c>
    </row>
    <row r="66" ht="22.35" customHeight="1" spans="1:7">
      <c r="A66" s="37">
        <f t="shared" ref="A66:G66" si="6">IF(WEEKDAY(DATE($A$2,$C$2,1),2)=A65,1,0)</f>
        <v>1</v>
      </c>
      <c r="B66" s="37">
        <f t="shared" si="6"/>
        <v>0</v>
      </c>
      <c r="C66" s="37">
        <f t="shared" si="6"/>
        <v>0</v>
      </c>
      <c r="D66" s="37">
        <f t="shared" si="6"/>
        <v>0</v>
      </c>
      <c r="E66" s="37">
        <f t="shared" si="6"/>
        <v>0</v>
      </c>
      <c r="F66" s="37">
        <f t="shared" si="6"/>
        <v>0</v>
      </c>
      <c r="G66" s="37">
        <f t="shared" si="6"/>
        <v>0</v>
      </c>
    </row>
    <row r="67" spans="1:1">
      <c r="A67" s="38"/>
    </row>
    <row r="72" spans="4:4">
      <c r="D72"/>
    </row>
  </sheetData>
  <mergeCells count="5">
    <mergeCell ref="A1:H1"/>
    <mergeCell ref="A2:B2"/>
    <mergeCell ref="C2:D2"/>
    <mergeCell ref="H2:H3"/>
    <mergeCell ref="H4:H15"/>
  </mergeCells>
  <conditionalFormatting sqref="A4:G16">
    <cfRule type="cellIs" dxfId="0" priority="1" operator="equal">
      <formula>DAY(TODAY())</formula>
    </cfRule>
  </conditionalFormatting>
  <pageMargins left="0.699305555555556" right="0.699305555555556" top="0.75" bottom="0.75" header="0.3" footer="0.3"/>
  <pageSetup paperSize="9" orientation="portrait" horizontalDpi="300" verticalDpi="300"/>
  <headerFooter>
    <oddHeader>&amp;C&amp;G</oddHeader>
  </headerFooter>
  <drawing r:id="rId2"/>
  <legacyDrawing r:id="rId3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Spinner 2" r:id="rId4">
              <controlPr defaultSize="0">
                <anchor moveWithCells="1" sizeWithCells="1">
                  <from>
                    <xdr:col>1</xdr:col>
                    <xdr:colOff>371475</xdr:colOff>
                    <xdr:row>1</xdr:row>
                    <xdr:rowOff>9525</xdr:rowOff>
                  </from>
                  <to>
                    <xdr:col>2</xdr:col>
                    <xdr:colOff>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Spinner 3" r:id="rId5">
              <controlPr defaultSize="0">
                <anchor moveWithCells="1" sizeWithCells="1">
                  <from>
                    <xdr:col>3</xdr:col>
                    <xdr:colOff>371475</xdr:colOff>
                    <xdr:row>1</xdr:row>
                    <xdr:rowOff>9525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2019-12-03T04:50:00Z</dcterms:created>
  <dcterms:modified xsi:type="dcterms:W3CDTF">2021-02-27T08:12:36Z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