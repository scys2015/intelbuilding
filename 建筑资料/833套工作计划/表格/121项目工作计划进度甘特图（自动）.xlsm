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9210" windowHeight="6555"/>
  </bookViews>
  <sheets>
    <sheet name="Sheet1" sheetId="5" r:id="rId1"/>
    <sheet name="图示" sheetId="7" r:id="rId2"/>
  </sheets>
  <calcPr calcId="144525"/>
</workbook>
</file>

<file path=xl/sharedStrings.xml><?xml version="1.0" encoding="utf-8"?>
<sst xmlns="http://schemas.openxmlformats.org/spreadsheetml/2006/main" count="28">
  <si>
    <r>
      <rPr>
        <b/>
        <sz val="22"/>
        <color theme="9" tint="-0.499984740745262"/>
        <rFont val="微软雅黑"/>
        <charset val="134"/>
      </rPr>
      <t xml:space="preserve">项目工作计划甘特图（自动作图）
</t>
    </r>
    <r>
      <rPr>
        <sz val="12"/>
        <color theme="9" tint="-0.499984740745262"/>
        <rFont val="微软雅黑"/>
        <charset val="134"/>
      </rPr>
      <t>Gantt chart of project work plan</t>
    </r>
  </si>
  <si>
    <t>已开始工期</t>
  </si>
  <si>
    <t>编号</t>
  </si>
  <si>
    <t>工作名称</t>
  </si>
  <si>
    <t>责任人</t>
  </si>
  <si>
    <t>计划开始时间</t>
  </si>
  <si>
    <t>计划结束时间</t>
  </si>
  <si>
    <t>预计工期</t>
  </si>
  <si>
    <t>已过工期</t>
  </si>
  <si>
    <t>剩余工期</t>
  </si>
  <si>
    <t>完成率</t>
  </si>
  <si>
    <t>一</t>
  </si>
  <si>
    <t>召开工作例会</t>
  </si>
  <si>
    <t>筹备年中会议</t>
  </si>
  <si>
    <t>新员工培训</t>
  </si>
  <si>
    <t>上周工作总结</t>
  </si>
  <si>
    <t>本月工作计划</t>
  </si>
  <si>
    <t>组织部门考核</t>
  </si>
  <si>
    <t>二</t>
  </si>
  <si>
    <t>指标数据收集</t>
  </si>
  <si>
    <t>绩效结果反馈</t>
  </si>
  <si>
    <t>本文档由稻壳儿奋斗的小青年设计制作，盗版必究。</t>
  </si>
  <si>
    <t>核算月度工资</t>
  </si>
  <si>
    <t>工资表报批</t>
  </si>
  <si>
    <t>三</t>
  </si>
  <si>
    <t>图   示</t>
  </si>
  <si>
    <t>计划工期</t>
  </si>
  <si>
    <t>实际工期</t>
  </si>
</sst>
</file>

<file path=xl/styles.xml><?xml version="1.0" encoding="utf-8"?>
<styleSheet xmlns="http://schemas.openxmlformats.org/spreadsheetml/2006/main">
  <numFmts count="5">
    <numFmt numFmtId="41" formatCode="_ * #,##0_ ;_ * \-#,##0_ ;_ * &quot;-&quot;_ ;_ @_ "/>
    <numFmt numFmtId="176" formatCode="[$-F800]dddd\,\ mmmm\ dd\,\ yyyy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9">
    <font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b/>
      <sz val="12"/>
      <color theme="1"/>
      <name val="微软雅黑"/>
      <charset val="134"/>
    </font>
    <font>
      <sz val="10"/>
      <color theme="1"/>
      <name val="微软雅黑"/>
      <charset val="134"/>
    </font>
    <font>
      <b/>
      <sz val="22"/>
      <color theme="9" tint="-0.499984740745262"/>
      <name val="微软雅黑"/>
      <charset val="134"/>
    </font>
    <font>
      <sz val="10"/>
      <color theme="1" tint="0.0499893185216834"/>
      <name val="微软雅黑"/>
      <charset val="134"/>
    </font>
    <font>
      <sz val="11"/>
      <color theme="1"/>
      <name val="微软雅黑"/>
      <charset val="134"/>
    </font>
    <font>
      <sz val="11"/>
      <color theme="0"/>
      <name val="宋体"/>
      <charset val="134"/>
      <scheme val="minor"/>
    </font>
    <font>
      <sz val="10"/>
      <color theme="0"/>
      <name val="微软雅黑"/>
      <charset val="134"/>
    </font>
    <font>
      <u/>
      <sz val="11"/>
      <color rgb="FF0000FF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FF00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sz val="12"/>
      <color theme="9" tint="-0.499984740745262"/>
      <name val="微软雅黑"/>
      <charset val="134"/>
    </font>
  </fonts>
  <fills count="36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</fills>
  <borders count="2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theme="1" tint="0.249977111117893"/>
      </bottom>
      <diagonal/>
    </border>
    <border>
      <left/>
      <right/>
      <top/>
      <bottom style="thin">
        <color theme="1" tint="0.249977111117893"/>
      </bottom>
      <diagonal/>
    </border>
    <border>
      <left/>
      <right style="medium">
        <color auto="1"/>
      </right>
      <top/>
      <bottom style="thin">
        <color theme="1" tint="0.249977111117893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1" tint="0.249977111117893"/>
      </bottom>
      <diagonal/>
    </border>
    <border>
      <left/>
      <right/>
      <top/>
      <bottom style="thin">
        <color theme="0" tint="-0.349986266670736"/>
      </bottom>
      <diagonal/>
    </border>
    <border>
      <left/>
      <right/>
      <top style="thin">
        <color theme="0" tint="-0.349986266670736"/>
      </top>
      <bottom style="thin">
        <color theme="0" tint="-0.349986266670736"/>
      </bottom>
      <diagonal/>
    </border>
    <border>
      <left/>
      <right/>
      <top style="thin">
        <color theme="0" tint="-0.349986266670736"/>
      </top>
      <bottom style="medium">
        <color theme="1" tint="0.249977111117893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20" fillId="16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20" borderId="18" applyNumberFormat="0" applyFont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5" fillId="0" borderId="20" applyNumberFormat="0" applyFill="0" applyAlignment="0" applyProtection="0">
      <alignment vertical="center"/>
    </xf>
    <xf numFmtId="0" fontId="24" fillId="0" borderId="20" applyNumberFormat="0" applyFill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7" fillId="0" borderId="21" applyNumberFormat="0" applyFill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2" fillId="9" borderId="14" applyNumberFormat="0" applyAlignment="0" applyProtection="0">
      <alignment vertical="center"/>
    </xf>
    <xf numFmtId="0" fontId="26" fillId="9" borderId="17" applyNumberFormat="0" applyAlignment="0" applyProtection="0">
      <alignment vertical="center"/>
    </xf>
    <xf numFmtId="0" fontId="15" fillId="11" borderId="15" applyNumberFormat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3" fillId="0" borderId="19" applyNumberFormat="0" applyFill="0" applyAlignment="0" applyProtection="0">
      <alignment vertical="center"/>
    </xf>
    <xf numFmtId="0" fontId="27" fillId="35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</cellStyleXfs>
  <cellXfs count="34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0" borderId="0" xfId="0" applyFont="1"/>
    <xf numFmtId="0" fontId="4" fillId="0" borderId="0" xfId="0" applyFont="1" applyBorder="1" applyAlignment="1">
      <alignment horizontal="center" vertical="center" wrapText="1"/>
    </xf>
    <xf numFmtId="14" fontId="5" fillId="4" borderId="10" xfId="0" applyNumberFormat="1" applyFont="1" applyFill="1" applyBorder="1" applyAlignment="1">
      <alignment horizontal="center" vertical="center"/>
    </xf>
    <xf numFmtId="14" fontId="5" fillId="5" borderId="10" xfId="0" applyNumberFormat="1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6" borderId="11" xfId="0" applyFont="1" applyFill="1" applyBorder="1"/>
    <xf numFmtId="14" fontId="3" fillId="2" borderId="11" xfId="0" applyNumberFormat="1" applyFont="1" applyFill="1" applyBorder="1" applyAlignment="1">
      <alignment horizontal="center" vertical="center"/>
    </xf>
    <xf numFmtId="0" fontId="3" fillId="6" borderId="11" xfId="0" applyNumberFormat="1" applyFont="1" applyFill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2" xfId="0" applyFont="1" applyBorder="1"/>
    <xf numFmtId="14" fontId="3" fillId="5" borderId="12" xfId="0" applyNumberFormat="1" applyFont="1" applyFill="1" applyBorder="1" applyAlignment="1">
      <alignment horizontal="center" vertical="center"/>
    </xf>
    <xf numFmtId="0" fontId="3" fillId="0" borderId="12" xfId="0" applyNumberFormat="1" applyFont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12" xfId="0" applyFont="1" applyFill="1" applyBorder="1"/>
    <xf numFmtId="14" fontId="3" fillId="2" borderId="12" xfId="0" applyNumberFormat="1" applyFont="1" applyFill="1" applyBorder="1" applyAlignment="1">
      <alignment horizontal="center" vertical="center"/>
    </xf>
    <xf numFmtId="0" fontId="3" fillId="6" borderId="12" xfId="0" applyNumberFormat="1" applyFont="1" applyFill="1" applyBorder="1" applyAlignment="1">
      <alignment horizontal="center" vertical="center"/>
    </xf>
    <xf numFmtId="0" fontId="3" fillId="0" borderId="13" xfId="0" applyFont="1" applyBorder="1"/>
    <xf numFmtId="0" fontId="6" fillId="4" borderId="0" xfId="0" applyFont="1" applyFill="1" applyBorder="1" applyAlignment="1">
      <alignment horizontal="center" vertical="center"/>
    </xf>
    <xf numFmtId="176" fontId="6" fillId="7" borderId="0" xfId="0" applyNumberFormat="1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176" fontId="6" fillId="7" borderId="8" xfId="0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8" fillId="0" borderId="0" xfId="0" applyFo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colors>
    <mruColors>
      <color rgb="00E3B04B"/>
      <color rgb="00F1D6A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2"/>
          <c:order val="0"/>
          <c:tx>
            <c:strRef>
              <c:f>Sheet1!$D$5</c:f>
              <c:strCache>
                <c:ptCount val="1"/>
                <c:pt idx="0">
                  <c:v>计划开始时间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dLbls>
            <c:delete val="1"/>
          </c:dLbls>
          <c:val>
            <c:numRef>
              <c:f>Sheet1!$D$6:$D$22</c:f>
              <c:numCache>
                <c:formatCode>yyyy/m/d</c:formatCode>
                <c:ptCount val="17"/>
                <c:pt idx="0">
                  <c:v>43831</c:v>
                </c:pt>
                <c:pt idx="1">
                  <c:v>43846</c:v>
                </c:pt>
                <c:pt idx="2">
                  <c:v>43832</c:v>
                </c:pt>
                <c:pt idx="3">
                  <c:v>43837</c:v>
                </c:pt>
                <c:pt idx="4">
                  <c:v>43841</c:v>
                </c:pt>
                <c:pt idx="5">
                  <c:v>43845</c:v>
                </c:pt>
                <c:pt idx="6">
                  <c:v>43831</c:v>
                </c:pt>
                <c:pt idx="7">
                  <c:v>43853</c:v>
                </c:pt>
                <c:pt idx="8">
                  <c:v>43857</c:v>
                </c:pt>
                <c:pt idx="9">
                  <c:v>43843</c:v>
                </c:pt>
                <c:pt idx="10">
                  <c:v>43844</c:v>
                </c:pt>
                <c:pt idx="11">
                  <c:v>43866</c:v>
                </c:pt>
                <c:pt idx="12">
                  <c:v>43866</c:v>
                </c:pt>
                <c:pt idx="13">
                  <c:v>43865</c:v>
                </c:pt>
                <c:pt idx="14">
                  <c:v>43871</c:v>
                </c:pt>
                <c:pt idx="15">
                  <c:v>43872</c:v>
                </c:pt>
                <c:pt idx="16">
                  <c:v>43873</c:v>
                </c:pt>
              </c:numCache>
            </c:numRef>
          </c:val>
        </c:ser>
        <c:ser>
          <c:idx val="0"/>
          <c:order val="1"/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delete val="1"/>
          </c:dLbls>
          <c:cat>
            <c:multiLvlStrRef>
              <c:f>Sheet1!$B$6:$C$22</c:f>
              <c:multiLvlStrCache>
                <c:ptCount val="17"/>
                <c:lvl/>
                <c:lvl>
                  <c:pt idx="0">
                    <c:v>召开工作例会</c:v>
                  </c:pt>
                  <c:pt idx="1">
                    <c:v>筹备年中会议</c:v>
                  </c:pt>
                  <c:pt idx="2">
                    <c:v>新员工培训</c:v>
                  </c:pt>
                  <c:pt idx="3">
                    <c:v>上周工作总结</c:v>
                  </c:pt>
                  <c:pt idx="4">
                    <c:v>本月工作计划</c:v>
                  </c:pt>
                  <c:pt idx="5">
                    <c:v>组织部门考核</c:v>
                  </c:pt>
                  <c:pt idx="6">
                    <c:v>指标数据收集</c:v>
                  </c:pt>
                  <c:pt idx="7">
                    <c:v>绩效结果反馈</c:v>
                  </c:pt>
                  <c:pt idx="8">
                    <c:v>核算月度工资</c:v>
                  </c:pt>
                  <c:pt idx="9">
                    <c:v>工资表报批</c:v>
                  </c:pt>
                  <c:pt idx="10">
                    <c:v>召开工作例会</c:v>
                  </c:pt>
                  <c:pt idx="11">
                    <c:v>筹备年中会议</c:v>
                  </c:pt>
                  <c:pt idx="12">
                    <c:v>新员工培训</c:v>
                  </c:pt>
                  <c:pt idx="13">
                    <c:v>上周工作总结</c:v>
                  </c:pt>
                  <c:pt idx="14">
                    <c:v>本月工作计划</c:v>
                  </c:pt>
                  <c:pt idx="15">
                    <c:v>本月工作计划</c:v>
                  </c:pt>
                  <c:pt idx="16">
                    <c:v>本月工作计划</c:v>
                  </c:pt>
                </c:lvl>
              </c:multiLvlStrCache>
            </c:multiLvlStrRef>
          </c:cat>
          <c:val>
            <c:numRef>
              <c:f>Sheet1!$G$6:$G$22</c:f>
              <c:numCache>
                <c:formatCode>General</c:formatCode>
                <c:ptCount val="17"/>
                <c:pt idx="0">
                  <c:v>6</c:v>
                </c:pt>
                <c:pt idx="1">
                  <c:v>1</c:v>
                </c:pt>
                <c:pt idx="2">
                  <c:v>17</c:v>
                </c:pt>
                <c:pt idx="3">
                  <c:v>12</c:v>
                </c:pt>
                <c:pt idx="4">
                  <c:v>8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</c:ser>
        <c:ser>
          <c:idx val="1"/>
          <c:order val="2"/>
          <c:spPr>
            <a:solidFill>
              <a:schemeClr val="accent6">
                <a:lumMod val="50000"/>
              </a:schemeClr>
            </a:solidFill>
          </c:spPr>
          <c:invertIfNegative val="0"/>
          <c:dLbls>
            <c:delete val="1"/>
          </c:dLbls>
          <c:cat>
            <c:multiLvlStrRef>
              <c:f>Sheet1!$B$6:$C$22</c:f>
              <c:multiLvlStrCache>
                <c:ptCount val="17"/>
                <c:lvl/>
                <c:lvl>
                  <c:pt idx="0">
                    <c:v>召开工作例会</c:v>
                  </c:pt>
                  <c:pt idx="1">
                    <c:v>筹备年中会议</c:v>
                  </c:pt>
                  <c:pt idx="2">
                    <c:v>新员工培训</c:v>
                  </c:pt>
                  <c:pt idx="3">
                    <c:v>上周工作总结</c:v>
                  </c:pt>
                  <c:pt idx="4">
                    <c:v>本月工作计划</c:v>
                  </c:pt>
                  <c:pt idx="5">
                    <c:v>组织部门考核</c:v>
                  </c:pt>
                  <c:pt idx="6">
                    <c:v>指标数据收集</c:v>
                  </c:pt>
                  <c:pt idx="7">
                    <c:v>绩效结果反馈</c:v>
                  </c:pt>
                  <c:pt idx="8">
                    <c:v>核算月度工资</c:v>
                  </c:pt>
                  <c:pt idx="9">
                    <c:v>工资表报批</c:v>
                  </c:pt>
                  <c:pt idx="10">
                    <c:v>召开工作例会</c:v>
                  </c:pt>
                  <c:pt idx="11">
                    <c:v>筹备年中会议</c:v>
                  </c:pt>
                  <c:pt idx="12">
                    <c:v>新员工培训</c:v>
                  </c:pt>
                  <c:pt idx="13">
                    <c:v>上周工作总结</c:v>
                  </c:pt>
                  <c:pt idx="14">
                    <c:v>本月工作计划</c:v>
                  </c:pt>
                  <c:pt idx="15">
                    <c:v>本月工作计划</c:v>
                  </c:pt>
                  <c:pt idx="16">
                    <c:v>本月工作计划</c:v>
                  </c:pt>
                </c:lvl>
              </c:multiLvlStrCache>
            </c:multiLvlStrRef>
          </c:cat>
          <c:val>
            <c:numRef>
              <c:f>Sheet1!$H$6:$H$22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6</c:v>
                </c:pt>
                <c:pt idx="5">
                  <c:v>12</c:v>
                </c:pt>
                <c:pt idx="6">
                  <c:v>0</c:v>
                </c:pt>
                <c:pt idx="7">
                  <c:v>8</c:v>
                </c:pt>
                <c:pt idx="8">
                  <c:v>3</c:v>
                </c:pt>
                <c:pt idx="9">
                  <c:v>12</c:v>
                </c:pt>
                <c:pt idx="10">
                  <c:v>18</c:v>
                </c:pt>
                <c:pt idx="11">
                  <c:v>3</c:v>
                </c:pt>
                <c:pt idx="12">
                  <c:v>5</c:v>
                </c:pt>
                <c:pt idx="13">
                  <c:v>10</c:v>
                </c:pt>
                <c:pt idx="14">
                  <c:v>5</c:v>
                </c:pt>
                <c:pt idx="15">
                  <c:v>7</c:v>
                </c:pt>
                <c:pt idx="16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"/>
        <c:overlap val="100"/>
        <c:axId val="45736960"/>
        <c:axId val="83335936"/>
      </c:barChart>
      <c:catAx>
        <c:axId val="45736960"/>
        <c:scaling>
          <c:orientation val="maxMin"/>
        </c:scaling>
        <c:delete val="0"/>
        <c:axPos val="l"/>
        <c:majorTickMark val="out"/>
        <c:minorTickMark val="none"/>
        <c:tickLblPos val="nextTo"/>
        <c:spPr>
          <a:noFill/>
          <a:ln w="9525" cap="flat" cmpd="sng" algn="ctr">
            <a:noFill/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83335936"/>
        <c:crosses val="autoZero"/>
        <c:auto val="1"/>
        <c:lblAlgn val="ctr"/>
        <c:lblOffset val="100"/>
        <c:noMultiLvlLbl val="0"/>
      </c:catAx>
      <c:valAx>
        <c:axId val="83335936"/>
        <c:scaling>
          <c:orientation val="minMax"/>
          <c:max val="43891"/>
          <c:min val="43831"/>
        </c:scaling>
        <c:delete val="0"/>
        <c:axPos val="t"/>
        <c:majorGridlines/>
        <c:numFmt formatCode="m/d/yyyy" sourceLinked="1"/>
        <c:majorTickMark val="out"/>
        <c:minorTickMark val="none"/>
        <c:tickLblPos val="nextTo"/>
        <c:spPr>
          <a:ln w="9525" cap="flat" cmpd="sng" algn="ctr">
            <a:noFill/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45736960"/>
        <c:crosses val="autoZero"/>
        <c:crossBetween val="between"/>
      </c:valAx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16" fmlaLink="$Q$5" horiz="1" max="100" page="10" val="18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0</xdr:colOff>
      <xdr:row>0</xdr:row>
      <xdr:rowOff>57151</xdr:rowOff>
    </xdr:from>
    <xdr:to>
      <xdr:col>2</xdr:col>
      <xdr:colOff>275655</xdr:colOff>
      <xdr:row>3</xdr:row>
      <xdr:rowOff>123825</xdr:rowOff>
    </xdr:to>
    <xdr:pic>
      <xdr:nvPicPr>
        <xdr:cNvPr id="2" name="图片 1"/>
        <xdr:cNvPicPr>
          <a:picLocks noChangeAspect="1"/>
        </xdr:cNvPicPr>
      </xdr:nvPicPr>
      <xdr:blipFill>
        <a:blip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150"/>
          <a:ext cx="1542415" cy="6762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9525</xdr:rowOff>
        </xdr:from>
        <xdr:to>
          <xdr:col>21</xdr:col>
          <xdr:colOff>676275</xdr:colOff>
          <xdr:row>3</xdr:row>
          <xdr:rowOff>171450</xdr:rowOff>
        </xdr:to>
        <xdr:sp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0839450" y="419100"/>
              <a:ext cx="4143375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9524</xdr:colOff>
      <xdr:row>4</xdr:row>
      <xdr:rowOff>19050</xdr:rowOff>
    </xdr:from>
    <xdr:to>
      <xdr:col>28</xdr:col>
      <xdr:colOff>190500</xdr:colOff>
      <xdr:row>22</xdr:row>
      <xdr:rowOff>152400</xdr:rowOff>
    </xdr:to>
    <xdr:graphicFrame>
      <xdr:nvGraphicFramePr>
        <xdr:cNvPr id="9" name="图表 8"/>
        <xdr:cNvGraphicFramePr/>
      </xdr:nvGraphicFramePr>
      <xdr:xfrm>
        <a:off x="6047740" y="828675"/>
        <a:ext cx="13249910" cy="56197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352425</xdr:colOff>
          <xdr:row>0</xdr:row>
          <xdr:rowOff>0</xdr:rowOff>
        </xdr:from>
        <xdr:to>
          <xdr:col>15</xdr:col>
          <xdr:colOff>679368</xdr:colOff>
          <xdr:row>3</xdr:row>
          <xdr:rowOff>157223</xdr:rowOff>
        </xdr:to>
        <xdr:pic>
          <xdr:nvPicPr>
            <xdr:cNvPr id="5" name="图片 4"/>
            <xdr:cNvPicPr>
              <a:picLocks noChangeAspect="1" noChangeArrowheads="1"/>
              <a:extLst>
                <a:ext uri="{84589F7E-364E-4C9E-8A38-B11213B215E9}">
                  <a14:cameraTool cellRange="图示!$A$1:$C$3" spid="_x0000_s1026"/>
                </a:ext>
              </a:extLst>
            </xdr:cNvPicPr>
          </xdr:nvPicPr>
          <xdr:blipFill>
            <a:blip r:embed="rId3"/>
            <a:srcRect r="81202" b="15217"/>
            <a:stretch>
              <a:fillRect/>
            </a:stretch>
          </xdr:blipFill>
          <xdr:spPr>
            <a:xfrm>
              <a:off x="9134475" y="0"/>
              <a:ext cx="1697990" cy="766445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波形">
      <a:dk1>
        <a:sysClr val="windowText" lastClr="000000"/>
      </a:dk1>
      <a:lt1>
        <a:sysClr val="window" lastClr="FFFFFF"/>
      </a:lt1>
      <a:dk2>
        <a:srgbClr val="073E87"/>
      </a:dk2>
      <a:lt2>
        <a:srgbClr val="C6E7FC"/>
      </a:lt2>
      <a:accent1>
        <a:srgbClr val="31B6FD"/>
      </a:accent1>
      <a:accent2>
        <a:srgbClr val="4584D3"/>
      </a:accent2>
      <a:accent3>
        <a:srgbClr val="5BD078"/>
      </a:accent3>
      <a:accent4>
        <a:srgbClr val="A5D028"/>
      </a:accent4>
      <a:accent5>
        <a:srgbClr val="F5C040"/>
      </a:accent5>
      <a:accent6>
        <a:srgbClr val="05E0DB"/>
      </a:accent6>
      <a:hlink>
        <a:srgbClr val="0080FF"/>
      </a:hlink>
      <a:folHlink>
        <a:srgbClr val="5EAEFF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vmlDrawing" Target="../drawings/vmlDrawing2.v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XEZ28"/>
  <sheetViews>
    <sheetView showGridLines="0" tabSelected="1" workbookViewId="0">
      <selection activeCell="J24" sqref="J24"/>
    </sheetView>
  </sheetViews>
  <sheetFormatPr defaultColWidth="9" defaultRowHeight="13.5"/>
  <cols>
    <col min="1" max="1" width="4.5" customWidth="1"/>
    <col min="2" max="2" width="12.125" customWidth="1"/>
    <col min="3" max="3" width="8.875" customWidth="1"/>
    <col min="4" max="5" width="11.5" customWidth="1"/>
    <col min="6" max="6" width="7.75" customWidth="1"/>
    <col min="7" max="7" width="8.125" customWidth="1"/>
    <col min="8" max="8" width="7.875" customWidth="1"/>
    <col min="9" max="9" width="7" customWidth="1"/>
    <col min="20" max="20" width="9.5" customWidth="1"/>
  </cols>
  <sheetData>
    <row r="1" ht="16.5" customHeight="1" spans="1:22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28" t="s">
        <v>1</v>
      </c>
      <c r="R1" s="28"/>
      <c r="S1" s="28"/>
      <c r="T1" s="29">
        <f>D6+Q5</f>
        <v>43849</v>
      </c>
      <c r="U1" s="29"/>
      <c r="V1" s="29"/>
    </row>
    <row r="2" ht="15.75" customHeight="1" spans="1:22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30"/>
      <c r="R2" s="30"/>
      <c r="S2" s="30"/>
      <c r="T2" s="31"/>
      <c r="U2" s="31"/>
      <c r="V2" s="31"/>
    </row>
    <row r="3" ht="15.75" customHeight="1" spans="1:16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</row>
    <row r="4" ht="15.75" customHeight="1" spans="1:16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</row>
    <row r="5" ht="24" customHeight="1" spans="1:17">
      <c r="A5" s="13" t="s">
        <v>2</v>
      </c>
      <c r="B5" s="13" t="s">
        <v>3</v>
      </c>
      <c r="C5" s="13" t="s">
        <v>4</v>
      </c>
      <c r="D5" s="14" t="s">
        <v>5</v>
      </c>
      <c r="E5" s="14" t="s">
        <v>6</v>
      </c>
      <c r="F5" s="13" t="s">
        <v>7</v>
      </c>
      <c r="G5" s="13" t="s">
        <v>8</v>
      </c>
      <c r="H5" s="13" t="s">
        <v>9</v>
      </c>
      <c r="I5" s="13" t="s">
        <v>10</v>
      </c>
      <c r="Q5" s="32">
        <v>18</v>
      </c>
    </row>
    <row r="6" s="11" customFormat="1" ht="24" customHeight="1" spans="1:9">
      <c r="A6" s="15" t="s">
        <v>11</v>
      </c>
      <c r="B6" s="15" t="s">
        <v>12</v>
      </c>
      <c r="C6" s="16"/>
      <c r="D6" s="17">
        <v>43831</v>
      </c>
      <c r="E6" s="17">
        <v>43837</v>
      </c>
      <c r="F6" s="18">
        <f>E6-D6</f>
        <v>6</v>
      </c>
      <c r="G6" s="18">
        <f t="shared" ref="G6" si="0">IF(($T$1-D6)&lt;0,0,MIN($T$1-D6,F6))</f>
        <v>6</v>
      </c>
      <c r="H6" s="18">
        <f>F6-G6</f>
        <v>0</v>
      </c>
      <c r="I6" s="18">
        <f>IF(OR(G6=H6,G6=0),"",H6/G6)</f>
        <v>0</v>
      </c>
    </row>
    <row r="7" s="11" customFormat="1" ht="24" customHeight="1" spans="1:9">
      <c r="A7" s="19">
        <v>1.1</v>
      </c>
      <c r="B7" s="19" t="s">
        <v>13</v>
      </c>
      <c r="C7" s="20"/>
      <c r="D7" s="21">
        <v>43846</v>
      </c>
      <c r="E7" s="21">
        <v>43847</v>
      </c>
      <c r="F7" s="22">
        <f t="shared" ref="F7:F22" si="1">E7-D7</f>
        <v>1</v>
      </c>
      <c r="G7" s="22">
        <f t="shared" ref="G7:G22" si="2">IF(($T$1-D7)&lt;0,0,MIN($T$1-D7,F7))</f>
        <v>1</v>
      </c>
      <c r="H7" s="22">
        <f t="shared" ref="H7:H22" si="3">F7-G7</f>
        <v>0</v>
      </c>
      <c r="I7" s="22"/>
    </row>
    <row r="8" s="11" customFormat="1" ht="24" customHeight="1" spans="1:9">
      <c r="A8" s="19">
        <v>1.2</v>
      </c>
      <c r="B8" s="19" t="s">
        <v>14</v>
      </c>
      <c r="C8" s="20"/>
      <c r="D8" s="21">
        <v>43832</v>
      </c>
      <c r="E8" s="21">
        <v>43852</v>
      </c>
      <c r="F8" s="22">
        <f t="shared" si="1"/>
        <v>20</v>
      </c>
      <c r="G8" s="22">
        <f t="shared" si="2"/>
        <v>17</v>
      </c>
      <c r="H8" s="22">
        <f t="shared" si="3"/>
        <v>3</v>
      </c>
      <c r="I8" s="22"/>
    </row>
    <row r="9" s="11" customFormat="1" ht="24" customHeight="1" spans="1:9">
      <c r="A9" s="19">
        <v>1.3</v>
      </c>
      <c r="B9" s="19" t="s">
        <v>15</v>
      </c>
      <c r="C9" s="20"/>
      <c r="D9" s="21">
        <v>43837</v>
      </c>
      <c r="E9" s="21">
        <v>43854</v>
      </c>
      <c r="F9" s="22">
        <f t="shared" si="1"/>
        <v>17</v>
      </c>
      <c r="G9" s="22">
        <f t="shared" si="2"/>
        <v>12</v>
      </c>
      <c r="H9" s="22">
        <f t="shared" si="3"/>
        <v>5</v>
      </c>
      <c r="I9" s="22"/>
    </row>
    <row r="10" s="11" customFormat="1" ht="24" customHeight="1" spans="1:9">
      <c r="A10" s="19">
        <v>1.4</v>
      </c>
      <c r="B10" s="19" t="s">
        <v>16</v>
      </c>
      <c r="C10" s="20"/>
      <c r="D10" s="21">
        <v>43841</v>
      </c>
      <c r="E10" s="21">
        <v>43855</v>
      </c>
      <c r="F10" s="22">
        <f t="shared" si="1"/>
        <v>14</v>
      </c>
      <c r="G10" s="22">
        <f t="shared" si="2"/>
        <v>8</v>
      </c>
      <c r="H10" s="22">
        <f t="shared" si="3"/>
        <v>6</v>
      </c>
      <c r="I10" s="22"/>
    </row>
    <row r="11" s="11" customFormat="1" ht="24" customHeight="1" spans="1:9">
      <c r="A11" s="19">
        <v>1.5</v>
      </c>
      <c r="B11" s="19" t="s">
        <v>17</v>
      </c>
      <c r="C11" s="20"/>
      <c r="D11" s="21">
        <v>43845</v>
      </c>
      <c r="E11" s="21">
        <v>43861</v>
      </c>
      <c r="F11" s="22">
        <f t="shared" si="1"/>
        <v>16</v>
      </c>
      <c r="G11" s="22">
        <f t="shared" si="2"/>
        <v>4</v>
      </c>
      <c r="H11" s="22">
        <f t="shared" si="3"/>
        <v>12</v>
      </c>
      <c r="I11" s="22"/>
    </row>
    <row r="12" s="11" customFormat="1" ht="24" customHeight="1" spans="1:9">
      <c r="A12" s="23" t="s">
        <v>18</v>
      </c>
      <c r="B12" s="23" t="s">
        <v>19</v>
      </c>
      <c r="C12" s="24"/>
      <c r="D12" s="25">
        <v>43831</v>
      </c>
      <c r="E12" s="25">
        <v>43832</v>
      </c>
      <c r="F12" s="26">
        <f t="shared" si="1"/>
        <v>1</v>
      </c>
      <c r="G12" s="18">
        <f t="shared" si="2"/>
        <v>1</v>
      </c>
      <c r="H12" s="18">
        <f t="shared" si="3"/>
        <v>0</v>
      </c>
      <c r="I12" s="18"/>
    </row>
    <row r="13" s="11" customFormat="1" ht="24" customHeight="1" spans="1:16380">
      <c r="A13" s="19">
        <v>2.1</v>
      </c>
      <c r="B13" s="19" t="s">
        <v>20</v>
      </c>
      <c r="C13" s="20"/>
      <c r="D13" s="21">
        <v>43853</v>
      </c>
      <c r="E13" s="21">
        <v>43861</v>
      </c>
      <c r="F13" s="22">
        <f t="shared" si="1"/>
        <v>8</v>
      </c>
      <c r="G13" s="22">
        <f t="shared" si="2"/>
        <v>0</v>
      </c>
      <c r="H13" s="22">
        <f t="shared" si="3"/>
        <v>8</v>
      </c>
      <c r="I13" s="22"/>
      <c r="XEZ13" s="33" t="s">
        <v>21</v>
      </c>
    </row>
    <row r="14" s="11" customFormat="1" ht="24" customHeight="1" spans="1:9">
      <c r="A14" s="19">
        <v>2.2</v>
      </c>
      <c r="B14" s="19" t="s">
        <v>22</v>
      </c>
      <c r="C14" s="20"/>
      <c r="D14" s="21">
        <v>43857</v>
      </c>
      <c r="E14" s="21">
        <v>43860</v>
      </c>
      <c r="F14" s="22">
        <f t="shared" si="1"/>
        <v>3</v>
      </c>
      <c r="G14" s="22">
        <f t="shared" si="2"/>
        <v>0</v>
      </c>
      <c r="H14" s="22">
        <f t="shared" si="3"/>
        <v>3</v>
      </c>
      <c r="I14" s="22"/>
    </row>
    <row r="15" s="11" customFormat="1" ht="24" customHeight="1" spans="1:9">
      <c r="A15" s="19">
        <v>2.3</v>
      </c>
      <c r="B15" s="19" t="s">
        <v>23</v>
      </c>
      <c r="C15" s="20"/>
      <c r="D15" s="21">
        <v>43843</v>
      </c>
      <c r="E15" s="21">
        <v>43861</v>
      </c>
      <c r="F15" s="22">
        <f t="shared" si="1"/>
        <v>18</v>
      </c>
      <c r="G15" s="22">
        <f t="shared" si="2"/>
        <v>6</v>
      </c>
      <c r="H15" s="22">
        <f t="shared" si="3"/>
        <v>12</v>
      </c>
      <c r="I15" s="22"/>
    </row>
    <row r="16" s="11" customFormat="1" ht="24" customHeight="1" spans="1:9">
      <c r="A16" s="19">
        <v>2.4</v>
      </c>
      <c r="B16" s="19" t="s">
        <v>12</v>
      </c>
      <c r="C16" s="20"/>
      <c r="D16" s="21">
        <v>43844</v>
      </c>
      <c r="E16" s="21">
        <v>43867</v>
      </c>
      <c r="F16" s="22">
        <f t="shared" si="1"/>
        <v>23</v>
      </c>
      <c r="G16" s="22">
        <f t="shared" si="2"/>
        <v>5</v>
      </c>
      <c r="H16" s="22">
        <f t="shared" si="3"/>
        <v>18</v>
      </c>
      <c r="I16" s="22"/>
    </row>
    <row r="17" s="11" customFormat="1" ht="24" customHeight="1" spans="1:12">
      <c r="A17" s="19">
        <v>2.5</v>
      </c>
      <c r="B17" s="19" t="s">
        <v>13</v>
      </c>
      <c r="C17" s="20"/>
      <c r="D17" s="21">
        <v>43866</v>
      </c>
      <c r="E17" s="21">
        <v>43869</v>
      </c>
      <c r="F17" s="22">
        <f t="shared" si="1"/>
        <v>3</v>
      </c>
      <c r="G17" s="22">
        <f t="shared" si="2"/>
        <v>0</v>
      </c>
      <c r="H17" s="22">
        <f t="shared" si="3"/>
        <v>3</v>
      </c>
      <c r="I17" s="22"/>
      <c r="L17" s="22"/>
    </row>
    <row r="18" s="11" customFormat="1" ht="24" customHeight="1" spans="1:12">
      <c r="A18" s="23" t="s">
        <v>24</v>
      </c>
      <c r="B18" s="23" t="s">
        <v>14</v>
      </c>
      <c r="C18" s="24"/>
      <c r="D18" s="25">
        <v>43866</v>
      </c>
      <c r="E18" s="25">
        <v>43871</v>
      </c>
      <c r="F18" s="26">
        <f t="shared" si="1"/>
        <v>5</v>
      </c>
      <c r="G18" s="18">
        <f t="shared" si="2"/>
        <v>0</v>
      </c>
      <c r="H18" s="18">
        <f t="shared" si="3"/>
        <v>5</v>
      </c>
      <c r="I18" s="18"/>
      <c r="L18" s="22"/>
    </row>
    <row r="19" s="11" customFormat="1" ht="24" customHeight="1" spans="1:12">
      <c r="A19" s="19">
        <v>3.1</v>
      </c>
      <c r="B19" s="19" t="s">
        <v>15</v>
      </c>
      <c r="C19" s="20"/>
      <c r="D19" s="21">
        <v>43865</v>
      </c>
      <c r="E19" s="21">
        <v>43875</v>
      </c>
      <c r="F19" s="22">
        <f t="shared" si="1"/>
        <v>10</v>
      </c>
      <c r="G19" s="22">
        <f t="shared" si="2"/>
        <v>0</v>
      </c>
      <c r="H19" s="22">
        <f t="shared" si="3"/>
        <v>10</v>
      </c>
      <c r="I19" s="22"/>
      <c r="L19" s="22"/>
    </row>
    <row r="20" s="11" customFormat="1" ht="24" customHeight="1" spans="1:12">
      <c r="A20" s="19">
        <v>3.2</v>
      </c>
      <c r="B20" s="19" t="s">
        <v>16</v>
      </c>
      <c r="C20" s="20"/>
      <c r="D20" s="21">
        <v>43871</v>
      </c>
      <c r="E20" s="21">
        <v>43876</v>
      </c>
      <c r="F20" s="22">
        <f t="shared" si="1"/>
        <v>5</v>
      </c>
      <c r="G20" s="22">
        <f t="shared" si="2"/>
        <v>0</v>
      </c>
      <c r="H20" s="22">
        <f t="shared" si="3"/>
        <v>5</v>
      </c>
      <c r="I20" s="22"/>
      <c r="L20" s="22"/>
    </row>
    <row r="21" s="11" customFormat="1" ht="24" customHeight="1" spans="1:12">
      <c r="A21" s="19">
        <v>3.3</v>
      </c>
      <c r="B21" s="19" t="s">
        <v>16</v>
      </c>
      <c r="C21" s="20"/>
      <c r="D21" s="21">
        <v>43872</v>
      </c>
      <c r="E21" s="21">
        <v>43879</v>
      </c>
      <c r="F21" s="22">
        <f t="shared" si="1"/>
        <v>7</v>
      </c>
      <c r="G21" s="22">
        <f t="shared" si="2"/>
        <v>0</v>
      </c>
      <c r="H21" s="22">
        <f t="shared" si="3"/>
        <v>7</v>
      </c>
      <c r="I21" s="22"/>
      <c r="L21" s="22"/>
    </row>
    <row r="22" s="11" customFormat="1" ht="24" customHeight="1" spans="1:9">
      <c r="A22" s="19">
        <v>3.4</v>
      </c>
      <c r="B22" s="19" t="s">
        <v>16</v>
      </c>
      <c r="C22" s="20"/>
      <c r="D22" s="21">
        <v>43873</v>
      </c>
      <c r="E22" s="21">
        <v>43879</v>
      </c>
      <c r="F22" s="22">
        <f t="shared" si="1"/>
        <v>6</v>
      </c>
      <c r="G22" s="22">
        <f t="shared" si="2"/>
        <v>0</v>
      </c>
      <c r="H22" s="22">
        <f t="shared" si="3"/>
        <v>6</v>
      </c>
      <c r="I22" s="22"/>
    </row>
    <row r="23" s="11" customFormat="1" ht="24" customHeight="1" spans="1:8">
      <c r="A23" s="20"/>
      <c r="B23" s="20"/>
      <c r="C23" s="20"/>
      <c r="D23" s="20"/>
      <c r="E23" s="20"/>
      <c r="F23" s="20"/>
      <c r="G23" s="22"/>
      <c r="H23" s="22"/>
    </row>
    <row r="24" s="11" customFormat="1" ht="24" customHeight="1" spans="1:9">
      <c r="A24" s="20"/>
      <c r="B24" s="20"/>
      <c r="C24" s="20"/>
      <c r="D24" s="20"/>
      <c r="E24" s="20"/>
      <c r="F24" s="20"/>
      <c r="G24" s="22"/>
      <c r="H24" s="22"/>
      <c r="I24" s="22"/>
    </row>
    <row r="25" s="11" customFormat="1" ht="24" customHeight="1" spans="1:9">
      <c r="A25" s="20"/>
      <c r="B25" s="20"/>
      <c r="C25" s="20"/>
      <c r="D25" s="20"/>
      <c r="E25" s="20"/>
      <c r="F25" s="20"/>
      <c r="G25" s="22"/>
      <c r="H25" s="22"/>
      <c r="I25" s="22"/>
    </row>
    <row r="26" s="11" customFormat="1" ht="24" customHeight="1" spans="1:9">
      <c r="A26" s="20"/>
      <c r="B26" s="20"/>
      <c r="C26" s="20"/>
      <c r="D26" s="20"/>
      <c r="E26" s="20"/>
      <c r="F26" s="20"/>
      <c r="G26" s="22"/>
      <c r="H26" s="22"/>
      <c r="I26" s="22"/>
    </row>
    <row r="27" s="11" customFormat="1" ht="24" customHeight="1" spans="1:9">
      <c r="A27" s="20"/>
      <c r="B27" s="20"/>
      <c r="C27" s="20"/>
      <c r="D27" s="20"/>
      <c r="E27" s="20"/>
      <c r="F27" s="20"/>
      <c r="G27" s="22"/>
      <c r="H27" s="22"/>
      <c r="I27" s="22"/>
    </row>
    <row r="28" s="11" customFormat="1" ht="24" customHeight="1" spans="1:9">
      <c r="A28" s="27"/>
      <c r="B28" s="27"/>
      <c r="C28" s="27"/>
      <c r="D28" s="27"/>
      <c r="E28" s="27"/>
      <c r="F28" s="27"/>
      <c r="G28" s="22"/>
      <c r="H28" s="22"/>
      <c r="I28" s="22"/>
    </row>
  </sheetData>
  <mergeCells count="3">
    <mergeCell ref="Q1:S2"/>
    <mergeCell ref="T1:V2"/>
    <mergeCell ref="A1:P4"/>
  </mergeCells>
  <pageMargins left="0.699305555555556" right="0.699305555555556" top="0.75" bottom="0.75" header="0.3" footer="0.3"/>
  <pageSetup paperSize="9" orientation="portrait"/>
  <headerFooter>
    <oddHeader>&amp;C&amp;G</oddHeader>
  </headerFooter>
  <drawing r:id="rId1"/>
  <legacyDrawing r:id="rId2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Scroll Bar 1" r:id="rId3">
              <controlPr defaultSize="0">
                <anchor moveWithCells="1">
                  <from>
                    <xdr:col>16</xdr:col>
                    <xdr:colOff>0</xdr:colOff>
                    <xdr:row>2</xdr:row>
                    <xdr:rowOff>9525</xdr:rowOff>
                  </from>
                  <to>
                    <xdr:col>21</xdr:col>
                    <xdr:colOff>676275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C3"/>
  <sheetViews>
    <sheetView workbookViewId="0">
      <selection activeCell="B3" sqref="A1:C3"/>
    </sheetView>
  </sheetViews>
  <sheetFormatPr defaultColWidth="9" defaultRowHeight="13.5" outlineLevelRow="2" outlineLevelCol="2"/>
  <sheetData>
    <row r="1" ht="27" customHeight="1" spans="1:3">
      <c r="A1" s="2" t="s">
        <v>25</v>
      </c>
      <c r="B1" s="3"/>
      <c r="C1" s="4"/>
    </row>
    <row r="2" s="1" customFormat="1" ht="27" customHeight="1" spans="1:3">
      <c r="A2" s="5" t="s">
        <v>26</v>
      </c>
      <c r="B2" s="6"/>
      <c r="C2" s="7"/>
    </row>
    <row r="3" s="1" customFormat="1" ht="27" customHeight="1" spans="1:3">
      <c r="A3" s="8" t="s">
        <v>27</v>
      </c>
      <c r="B3" s="9"/>
      <c r="C3" s="10"/>
    </row>
  </sheetData>
  <mergeCells count="3">
    <mergeCell ref="A1:C1"/>
    <mergeCell ref="B2:C2"/>
    <mergeCell ref="B3:C3"/>
  </mergeCells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图示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2006-09-16T00:00:00Z</dcterms:created>
  <dcterms:modified xsi:type="dcterms:W3CDTF">2021-02-27T08:22:49Z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2052-10.1.0.7698</vt:lpwstr>
  </property>
</Properties>
</file>