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yWindow="5625" windowWidth="9210" windowHeight="6555"/>
  </bookViews>
  <sheets>
    <sheet name="Sheet1" sheetId="1" r:id="rId1"/>
    <sheet name="Sheet2" sheetId="5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A11" authorId="0">
      <text>
        <r>
          <rPr>
            <b/>
            <sz val="9"/>
            <rFont val="宋体"/>
            <charset val="134"/>
          </rPr>
          <t>关键节点:召开启动会</t>
        </r>
      </text>
    </comment>
  </commentList>
</comments>
</file>

<file path=xl/sharedStrings.xml><?xml version="1.0" encoding="utf-8"?>
<sst xmlns="http://schemas.openxmlformats.org/spreadsheetml/2006/main" count="37">
  <si>
    <r>
      <rPr>
        <b/>
        <sz val="28"/>
        <color theme="1"/>
        <rFont val="微软雅黑"/>
        <charset val="134"/>
      </rPr>
      <t>项目工作计划甘特图</t>
    </r>
    <r>
      <rPr>
        <sz val="18"/>
        <color theme="1"/>
        <rFont val="微软雅黑"/>
        <charset val="134"/>
      </rPr>
      <t xml:space="preserve">
</t>
    </r>
    <r>
      <rPr>
        <sz val="14"/>
        <color theme="8" tint="-0.249977111117893"/>
        <rFont val="微软雅黑"/>
        <charset val="134"/>
      </rPr>
      <t xml:space="preserve">Gantt chart of project work plan </t>
    </r>
  </si>
  <si>
    <t>当前工期</t>
  </si>
  <si>
    <t>编号</t>
  </si>
  <si>
    <t>工作名称</t>
  </si>
  <si>
    <t>工作内容</t>
  </si>
  <si>
    <t>优先级别</t>
  </si>
  <si>
    <t>责任人</t>
  </si>
  <si>
    <t>计划开始时间</t>
  </si>
  <si>
    <t>计划结束时间</t>
  </si>
  <si>
    <t>工期</t>
  </si>
  <si>
    <t>备注</t>
  </si>
  <si>
    <t>一</t>
  </si>
  <si>
    <t>召开工作例会</t>
  </si>
  <si>
    <t>高</t>
  </si>
  <si>
    <t>高飞</t>
  </si>
  <si>
    <t>筹备年中会议</t>
  </si>
  <si>
    <t>中</t>
  </si>
  <si>
    <t>日</t>
  </si>
  <si>
    <t>二</t>
  </si>
  <si>
    <t>三</t>
  </si>
  <si>
    <t>四</t>
  </si>
  <si>
    <t>五</t>
  </si>
  <si>
    <t>六</t>
  </si>
  <si>
    <t>新员工培训</t>
  </si>
  <si>
    <t>低</t>
  </si>
  <si>
    <t>上周工作总结</t>
  </si>
  <si>
    <t>本月工作计划</t>
  </si>
  <si>
    <t>组织部门考核</t>
  </si>
  <si>
    <t>指标数据收集</t>
  </si>
  <si>
    <t>绩效结果反馈</t>
  </si>
  <si>
    <t>核算月度工资</t>
  </si>
  <si>
    <t>本文档由稻壳儿奋斗的小青年设计制作，盗版必究。</t>
  </si>
  <si>
    <t>总结：</t>
  </si>
  <si>
    <t>工资表报批</t>
  </si>
  <si>
    <t>2月26日颜色</t>
  </si>
  <si>
    <t>51,51,51</t>
  </si>
  <si>
    <t>112,108,97</t>
  </si>
</sst>
</file>

<file path=xl/styles.xml><?xml version="1.0" encoding="utf-8"?>
<styleSheet xmlns="http://schemas.openxmlformats.org/spreadsheetml/2006/main">
  <numFmts count="11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General&quot;天&quot;"/>
    <numFmt numFmtId="177" formatCode="h:mm:ss;@"/>
    <numFmt numFmtId="178" formatCode="[DBNum1]&quot;今&quot;&quot;天&quot;&quot;是&quot;&quot;：&quot;\ [$-804]yyyy&quot;年&quot;m&quot;月&quot;d&quot;日&quot;;@"/>
    <numFmt numFmtId="179" formatCode="General\ &quot;年&quot;"/>
    <numFmt numFmtId="180" formatCode="General\ &quot;月&quot;"/>
    <numFmt numFmtId="181" formatCode="[$-804]aaa;@"/>
    <numFmt numFmtId="182" formatCode="[$-F800]dddd\,\ mmmm\ dd\,\ yyyy"/>
  </numFmts>
  <fonts count="33">
    <font>
      <sz val="11"/>
      <color theme="1"/>
      <name val="宋体"/>
      <charset val="134"/>
      <scheme val="minor"/>
    </font>
    <font>
      <b/>
      <sz val="16"/>
      <color theme="1"/>
      <name val="微软雅黑"/>
      <charset val="134"/>
    </font>
    <font>
      <sz val="11"/>
      <color rgb="FFFF0000"/>
      <name val="微软雅黑"/>
      <charset val="134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sz val="36"/>
      <color theme="0"/>
      <name val="微软雅黑 Light"/>
      <charset val="134"/>
    </font>
    <font>
      <sz val="12"/>
      <color theme="0" tint="-0.149998474074526"/>
      <name val="微软雅黑"/>
      <charset val="134"/>
    </font>
    <font>
      <sz val="11"/>
      <color theme="0"/>
      <name val="微软雅黑"/>
      <charset val="134"/>
    </font>
    <font>
      <sz val="11"/>
      <color rgb="FF585F69"/>
      <name val="微软雅黑"/>
      <charset val="134"/>
    </font>
    <font>
      <sz val="14"/>
      <color theme="5" tint="-0.249977111117893"/>
      <name val="微软雅黑"/>
      <charset val="134"/>
    </font>
    <font>
      <sz val="10"/>
      <color theme="0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28"/>
      <color theme="1"/>
      <name val="微软雅黑"/>
      <charset val="134"/>
    </font>
    <font>
      <sz val="14"/>
      <color theme="8" tint="-0.249977111117893"/>
      <name val="微软雅黑"/>
      <charset val="134"/>
    </font>
  </fonts>
  <fills count="3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4F3"/>
        <bgColor indexed="64"/>
      </patternFill>
    </fill>
    <fill>
      <patternFill patternType="solid">
        <fgColor rgb="FF706C61"/>
        <bgColor indexed="64"/>
      </patternFill>
    </fill>
    <fill>
      <patternFill patternType="solid">
        <fgColor rgb="FF585F6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349986266670736"/>
      </bottom>
      <diagonal/>
    </border>
    <border>
      <left/>
      <right/>
      <top style="thin">
        <color theme="0" tint="-0.349986266670736"/>
      </top>
      <bottom/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medium">
        <color theme="1" tint="0.149998474074526"/>
      </left>
      <right style="thin">
        <color theme="0" tint="-0.249977111117893"/>
      </right>
      <top style="medium">
        <color theme="1" tint="0.149998474074526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 tint="0.149998474074526"/>
      </top>
      <bottom/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 style="medium">
        <color theme="1" tint="0.149998474074526"/>
      </right>
      <top style="medium">
        <color theme="1" tint="0.149998474074526"/>
      </top>
      <bottom/>
      <diagonal/>
    </border>
    <border>
      <left/>
      <right style="medium">
        <color theme="1" tint="0.149998474074526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1" tint="0.149998474074526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6" fillId="32" borderId="2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1" borderId="25" applyNumberFormat="0" applyFon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6" fillId="0" borderId="27" applyNumberFormat="0" applyFill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13" borderId="20" applyNumberFormat="0" applyAlignment="0" applyProtection="0">
      <alignment vertical="center"/>
    </xf>
    <xf numFmtId="0" fontId="23" fillId="13" borderId="24" applyNumberFormat="0" applyAlignment="0" applyProtection="0">
      <alignment vertical="center"/>
    </xf>
    <xf numFmtId="0" fontId="19" fillId="20" borderId="21" applyNumberFormat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7" fillId="0" borderId="26" applyNumberFormat="0" applyFill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</cellStyleXfs>
  <cellXfs count="5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77" fontId="6" fillId="6" borderId="0" xfId="0" applyNumberFormat="1" applyFont="1" applyFill="1" applyBorder="1" applyAlignment="1">
      <alignment horizontal="left" vertical="center" wrapText="1"/>
    </xf>
    <xf numFmtId="178" fontId="7" fillId="6" borderId="2" xfId="0" applyNumberFormat="1" applyFont="1" applyFill="1" applyBorder="1" applyAlignment="1">
      <alignment horizontal="left" vertical="top" wrapText="1"/>
    </xf>
    <xf numFmtId="179" fontId="8" fillId="6" borderId="3" xfId="0" applyNumberFormat="1" applyFont="1" applyFill="1" applyBorder="1" applyAlignment="1">
      <alignment horizontal="left" vertical="center"/>
    </xf>
    <xf numFmtId="180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181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left" vertical="top"/>
    </xf>
    <xf numFmtId="0" fontId="8" fillId="6" borderId="0" xfId="0" applyFont="1" applyFill="1" applyBorder="1" applyAlignment="1">
      <alignment horizontal="left" vertical="top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0" borderId="0" xfId="0" applyFont="1"/>
    <xf numFmtId="0" fontId="3" fillId="7" borderId="0" xfId="0" applyFont="1" applyFill="1" applyBorder="1" applyAlignment="1">
      <alignment horizontal="center" vertical="center" wrapText="1"/>
    </xf>
    <xf numFmtId="182" fontId="3" fillId="8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/>
    </xf>
    <xf numFmtId="0" fontId="11" fillId="9" borderId="9" xfId="0" applyFont="1" applyFill="1" applyBorder="1" applyAlignment="1">
      <alignment horizontal="center" vertical="center"/>
    </xf>
    <xf numFmtId="14" fontId="11" fillId="9" borderId="9" xfId="0" applyNumberFormat="1" applyFont="1" applyFill="1" applyBorder="1" applyAlignment="1">
      <alignment horizontal="center" vertical="center"/>
    </xf>
    <xf numFmtId="176" fontId="11" fillId="9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176" fontId="4" fillId="0" borderId="12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4" fontId="4" fillId="0" borderId="14" xfId="0" applyNumberFormat="1" applyFon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11" fillId="0" borderId="0" xfId="0" applyFont="1" applyFill="1" applyAlignment="1">
      <alignment horizontal="center" vertical="center"/>
    </xf>
    <xf numFmtId="14" fontId="11" fillId="9" borderId="16" xfId="0" applyNumberFormat="1" applyFont="1" applyFill="1" applyBorder="1" applyAlignment="1">
      <alignment horizontal="center" vertical="center"/>
    </xf>
    <xf numFmtId="14" fontId="4" fillId="0" borderId="17" xfId="0" applyNumberFormat="1" applyFont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14" fontId="4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colors>
    <mruColors>
      <color rgb="00E3B04B"/>
      <color rgb="00F1D6A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1"/>
          <c:y val="0.0472961309557344"/>
          <c:w val="0.98"/>
          <c:h val="0.936963130390104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Sheet1!$N$3</c:f>
              <c:strCache>
                <c:ptCount val="1"/>
                <c:pt idx="0">
                  <c:v>计划开始时间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val>
            <c:numRef>
              <c:f>Sheet1!$N$4:$N$32</c:f>
              <c:numCache>
                <c:formatCode>yyyy/m/d</c:formatCode>
                <c:ptCount val="29"/>
                <c:pt idx="0">
                  <c:v>43831</c:v>
                </c:pt>
                <c:pt idx="1">
                  <c:v>43846</c:v>
                </c:pt>
                <c:pt idx="2">
                  <c:v>43836</c:v>
                </c:pt>
                <c:pt idx="3">
                  <c:v>43851</c:v>
                </c:pt>
                <c:pt idx="4">
                  <c:v>43848</c:v>
                </c:pt>
                <c:pt idx="5">
                  <c:v>43845</c:v>
                </c:pt>
                <c:pt idx="6">
                  <c:v>43831</c:v>
                </c:pt>
                <c:pt idx="7">
                  <c:v>43853</c:v>
                </c:pt>
                <c:pt idx="8">
                  <c:v>43857</c:v>
                </c:pt>
                <c:pt idx="9">
                  <c:v>43843</c:v>
                </c:pt>
                <c:pt idx="10">
                  <c:v>43862</c:v>
                </c:pt>
                <c:pt idx="11">
                  <c:v>43866</c:v>
                </c:pt>
                <c:pt idx="12">
                  <c:v>43866</c:v>
                </c:pt>
                <c:pt idx="13">
                  <c:v>43865</c:v>
                </c:pt>
                <c:pt idx="14">
                  <c:v>43871</c:v>
                </c:pt>
                <c:pt idx="15">
                  <c:v>43872</c:v>
                </c:pt>
                <c:pt idx="16">
                  <c:v>43873</c:v>
                </c:pt>
              </c:numCache>
            </c:numRef>
          </c:val>
        </c:ser>
        <c:ser>
          <c:idx val="0"/>
          <c:order val="1"/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delete val="1"/>
          </c:dLbls>
          <c:cat>
            <c:multiLvlStrRef>
              <c:f>Sheet1!$J$4:$K$32</c:f>
              <c:multiLvlStrCache>
                <c:ptCount val="29"/>
                <c:lvl/>
                <c:lvl>
                  <c:pt idx="0">
                    <c:v>召开工作例会</c:v>
                  </c:pt>
                  <c:pt idx="1">
                    <c:v>筹备年中会议</c:v>
                  </c:pt>
                  <c:pt idx="2">
                    <c:v>新员工培训</c:v>
                  </c:pt>
                  <c:pt idx="3">
                    <c:v>上周工作总结</c:v>
                  </c:pt>
                  <c:pt idx="4">
                    <c:v>本月工作计划</c:v>
                  </c:pt>
                  <c:pt idx="5">
                    <c:v>组织部门考核</c:v>
                  </c:pt>
                  <c:pt idx="6">
                    <c:v>指标数据收集</c:v>
                  </c:pt>
                  <c:pt idx="7">
                    <c:v>绩效结果反馈</c:v>
                  </c:pt>
                  <c:pt idx="8">
                    <c:v>核算月度工资</c:v>
                  </c:pt>
                  <c:pt idx="9">
                    <c:v>工资表报批</c:v>
                  </c:pt>
                  <c:pt idx="10">
                    <c:v>召开工作例会</c:v>
                  </c:pt>
                  <c:pt idx="11">
                    <c:v>筹备年中会议</c:v>
                  </c:pt>
                  <c:pt idx="12">
                    <c:v>新员工培训</c:v>
                  </c:pt>
                  <c:pt idx="13">
                    <c:v>上周工作总结</c:v>
                  </c:pt>
                  <c:pt idx="14">
                    <c:v>本月工作计划</c:v>
                  </c:pt>
                  <c:pt idx="15">
                    <c:v>本月工作计划</c:v>
                  </c:pt>
                  <c:pt idx="16">
                    <c:v>本月工作计划</c:v>
                  </c:pt>
                </c:lvl>
              </c:multiLvlStrCache>
            </c:multiLvlStrRef>
          </c:cat>
          <c:val>
            <c:numRef>
              <c:f>Sheet1!$P$4:$P$32</c:f>
              <c:numCache>
                <c:formatCode>General"天"</c:formatCode>
                <c:ptCount val="29"/>
                <c:pt idx="0">
                  <c:v>6</c:v>
                </c:pt>
                <c:pt idx="1">
                  <c:v>1</c:v>
                </c:pt>
                <c:pt idx="2">
                  <c:v>16</c:v>
                </c:pt>
                <c:pt idx="3">
                  <c:v>3</c:v>
                </c:pt>
                <c:pt idx="4">
                  <c:v>7</c:v>
                </c:pt>
                <c:pt idx="5">
                  <c:v>16</c:v>
                </c:pt>
                <c:pt idx="6">
                  <c:v>1</c:v>
                </c:pt>
                <c:pt idx="7">
                  <c:v>8</c:v>
                </c:pt>
                <c:pt idx="8">
                  <c:v>3</c:v>
                </c:pt>
                <c:pt idx="9">
                  <c:v>18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10</c:v>
                </c:pt>
                <c:pt idx="14">
                  <c:v>5</c:v>
                </c:pt>
                <c:pt idx="15">
                  <c:v>7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"/>
        <c:overlap val="100"/>
        <c:axId val="96948224"/>
        <c:axId val="57861248"/>
      </c:barChart>
      <c:scatterChart>
        <c:scatterStyle val="marker"/>
        <c:varyColors val="0"/>
        <c:ser>
          <c:idx val="2"/>
          <c:order val="2"/>
          <c:spPr>
            <a:ln w="28575" cap="rnd" cmpd="sng" algn="ctr">
              <a:noFill/>
              <a:prstDash val="solid"/>
              <a:round/>
            </a:ln>
          </c:spPr>
          <c:dLbls>
            <c:delete val="1"/>
          </c:dLbls>
          <c:yVal>
            <c:numRef>
              <c:f>Sheet1!$L$2</c:f>
              <c:numCache>
                <c:formatCode>[$-F800]dddd\,\ mmmm\ dd\,\ yyyy</c:formatCode>
                <c:ptCount val="1"/>
                <c:pt idx="0">
                  <c:v>43836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"今天"</c:f>
              <c:strCache>
                <c:ptCount val="1"/>
                <c:pt idx="0">
                  <c:v>今天</c:v>
                </c:pt>
              </c:strCache>
            </c:strRef>
          </c:tx>
          <c:spPr>
            <a:ln w="28575" cap="rnd" cmpd="sng" algn="ctr">
              <a:solidFill>
                <a:schemeClr val="bg1"/>
              </a:solidFill>
              <a:prstDash val="solid"/>
              <a:round/>
            </a:ln>
          </c:spPr>
          <c:marker>
            <c:spPr>
              <a:solidFill>
                <a:srgbClr val="FF0000"/>
              </a:solidFill>
              <a:ln w="9525" cap="flat" cmpd="sng" algn="ctr">
                <a:solidFill>
                  <a:schemeClr val="bg1"/>
                </a:solidFill>
                <a:prstDash val="solid"/>
                <a:round/>
              </a:ln>
            </c:spPr>
          </c:marker>
          <c:dLbls>
            <c:delete val="1"/>
          </c:dLbls>
          <c:errBars>
            <c:errDir val="y"/>
            <c:errBarType val="both"/>
            <c:errValType val="fixedVal"/>
            <c:noEndCap val="1"/>
            <c:val val="1"/>
            <c:spPr>
              <a:ln w="34925" cap="flat" cmpd="sng" algn="ctr">
                <a:solidFill>
                  <a:srgbClr val="FF0000"/>
                </a:solidFill>
                <a:prstDash val="solid"/>
                <a:round/>
              </a:ln>
            </c:spPr>
          </c:errBars>
          <c:xVal>
            <c:numRef>
              <c:f>Sheet1!$L$2</c:f>
              <c:numCache>
                <c:formatCode>[$-F800]dddd\,\ mmmm\ dd\,\ yyyy</c:formatCode>
                <c:ptCount val="1"/>
                <c:pt idx="0">
                  <c:v>43836</c:v>
                </c:pt>
              </c:numCache>
            </c:numRef>
          </c:xVal>
          <c:y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62976"/>
        <c:axId val="57862400"/>
      </c:scatterChart>
      <c:catAx>
        <c:axId val="969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1248"/>
        <c:crosses val="autoZero"/>
        <c:auto val="1"/>
        <c:lblAlgn val="ctr"/>
        <c:lblOffset val="100"/>
        <c:noMultiLvlLbl val="0"/>
      </c:catAx>
      <c:valAx>
        <c:axId val="57861248"/>
        <c:scaling>
          <c:orientation val="minMax"/>
          <c:max val="43891"/>
          <c:min val="43831"/>
        </c:scaling>
        <c:delete val="0"/>
        <c:axPos val="t"/>
        <c:numFmt formatCode="m/d;@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6948224"/>
        <c:crosses val="autoZero"/>
        <c:crossBetween val="between"/>
        <c:majorUnit val="1"/>
      </c:valAx>
      <c:valAx>
        <c:axId val="57862976"/>
        <c:scaling>
          <c:orientation val="minMax"/>
          <c:max val="43891"/>
          <c:min val="43831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2400"/>
        <c:crosses val="autoZero"/>
        <c:crossBetween val="midCat"/>
      </c:valAx>
      <c:valAx>
        <c:axId val="57862400"/>
        <c:scaling>
          <c:orientation val="minMax"/>
          <c:max val="2"/>
          <c:min val="1"/>
        </c:scaling>
        <c:delete val="1"/>
        <c:axPos val="l"/>
        <c:numFmt formatCode="[$-F800]dddd\,\ mmmm\ dd\,\ yyyy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2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R$2" horiz="1" max="100" page="10" val="5"/>
</file>

<file path=xl/ctrlProps/ctrlProp2.xml><?xml version="1.0" encoding="utf-8"?>
<formControlPr xmlns="http://schemas.microsoft.com/office/spreadsheetml/2009/9/main" objectType="Spin" dx="16" fmlaLink="$A$5" max="2050" min="1900" page="10" val="2023"/>
</file>

<file path=xl/ctrlProps/ctrlProp3.xml><?xml version="1.0" encoding="utf-8"?>
<formControlPr xmlns="http://schemas.microsoft.com/office/spreadsheetml/2009/9/main" objectType="Spin" dx="16" fmlaLink="$C$5" max="12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17</xdr:col>
      <xdr:colOff>0</xdr:colOff>
      <xdr:row>2</xdr:row>
      <xdr:rowOff>1</xdr:rowOff>
    </xdr:from>
    <xdr:to>
      <xdr:col>47</xdr:col>
      <xdr:colOff>0</xdr:colOff>
      <xdr:row>32</xdr:row>
      <xdr:rowOff>0</xdr:rowOff>
    </xdr:to>
    <xdr:graphicFrame>
      <xdr:nvGraphicFramePr>
        <xdr:cNvPr id="3" name="图表 2"/>
        <xdr:cNvGraphicFramePr/>
      </xdr:nvGraphicFramePr>
      <xdr:xfrm>
        <a:off x="9391650" y="1219200"/>
        <a:ext cx="22860000" cy="85915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9525</xdr:rowOff>
        </xdr:from>
        <xdr:to>
          <xdr:col>16</xdr:col>
          <xdr:colOff>390525</xdr:colOff>
          <xdr:row>1</xdr:row>
          <xdr:rowOff>323850</xdr:rowOff>
        </xdr:to>
        <xdr:sp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591300" y="885825"/>
              <a:ext cx="26479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4</xdr:row>
          <xdr:rowOff>9525</xdr:rowOff>
        </xdr:from>
        <xdr:to>
          <xdr:col>1</xdr:col>
          <xdr:colOff>476250</xdr:colOff>
          <xdr:row>5</xdr:row>
          <xdr:rowOff>0</xdr:rowOff>
        </xdr:to>
        <xdr:sp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781050" y="1895475"/>
              <a:ext cx="180975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4</xdr:row>
          <xdr:rowOff>9525</xdr:rowOff>
        </xdr:from>
        <xdr:to>
          <xdr:col>3</xdr:col>
          <xdr:colOff>476250</xdr:colOff>
          <xdr:row>5</xdr:row>
          <xdr:rowOff>0</xdr:rowOff>
        </xdr:to>
        <xdr:sp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752600" y="1895475"/>
              <a:ext cx="180975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流畅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vmlDrawing" Target="../drawings/vmlDrawing2.v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EG68"/>
  <sheetViews>
    <sheetView showGridLines="0" showZeros="0" tabSelected="1" workbookViewId="0">
      <selection activeCell="J21" sqref="J21"/>
    </sheetView>
  </sheetViews>
  <sheetFormatPr defaultColWidth="10" defaultRowHeight="22.5" customHeight="1"/>
  <cols>
    <col min="1" max="7" width="6.375" style="8" customWidth="1"/>
    <col min="8" max="8" width="1.125" style="9" customWidth="1"/>
    <col min="9" max="9" width="4.75" style="9" customWidth="1"/>
    <col min="10" max="10" width="12.375" style="9" customWidth="1"/>
    <col min="11" max="11" width="8" style="9" customWidth="1"/>
    <col min="12" max="12" width="8.375" style="9" customWidth="1"/>
    <col min="13" max="13" width="6.625" style="9" customWidth="1"/>
    <col min="14" max="15" width="11.25" style="10" customWidth="1"/>
    <col min="16" max="16" width="7.75" style="11" customWidth="1"/>
    <col min="17" max="17" width="7.125" style="10" customWidth="1"/>
    <col min="18" max="49" width="10" style="12"/>
    <col min="50" max="16384" width="10" style="9"/>
  </cols>
  <sheetData>
    <row r="1" ht="69" customHeight="1" spans="1:27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45"/>
      <c r="X1" s="45"/>
      <c r="Y1" s="45"/>
      <c r="Z1" s="45"/>
      <c r="AA1" s="45"/>
    </row>
    <row r="2" ht="27" customHeight="1" spans="1:18">
      <c r="A2" s="14">
        <f ca="1">NOW()</f>
        <v>44254.6775810185</v>
      </c>
      <c r="B2" s="14"/>
      <c r="C2" s="14"/>
      <c r="D2" s="14"/>
      <c r="E2" s="14"/>
      <c r="F2" s="14"/>
      <c r="G2" s="14"/>
      <c r="I2" s="30" t="s">
        <v>1</v>
      </c>
      <c r="J2" s="30"/>
      <c r="K2" s="30"/>
      <c r="L2" s="31">
        <f>N4+R2</f>
        <v>43836</v>
      </c>
      <c r="M2" s="31"/>
      <c r="N2" s="32"/>
      <c r="O2" s="13"/>
      <c r="P2" s="13"/>
      <c r="Q2" s="13"/>
      <c r="R2" s="46">
        <v>5</v>
      </c>
    </row>
    <row r="3" ht="33.75" customHeight="1" spans="1:17">
      <c r="A3" s="14"/>
      <c r="B3" s="14"/>
      <c r="C3" s="14"/>
      <c r="D3" s="14"/>
      <c r="E3" s="14"/>
      <c r="F3" s="14"/>
      <c r="G3" s="14"/>
      <c r="I3" s="33" t="s">
        <v>2</v>
      </c>
      <c r="J3" s="34" t="s">
        <v>3</v>
      </c>
      <c r="K3" s="34" t="s">
        <v>4</v>
      </c>
      <c r="L3" s="34" t="s">
        <v>5</v>
      </c>
      <c r="M3" s="34" t="s">
        <v>6</v>
      </c>
      <c r="N3" s="35" t="s">
        <v>7</v>
      </c>
      <c r="O3" s="35" t="s">
        <v>8</v>
      </c>
      <c r="P3" s="36" t="s">
        <v>9</v>
      </c>
      <c r="Q3" s="47" t="s">
        <v>10</v>
      </c>
    </row>
    <row r="4" ht="18.75" customHeight="1" spans="1:17">
      <c r="A4" s="15">
        <f ca="1">TODAY()</f>
        <v>44254</v>
      </c>
      <c r="B4" s="15"/>
      <c r="C4" s="15"/>
      <c r="D4" s="15"/>
      <c r="E4" s="15"/>
      <c r="F4" s="15"/>
      <c r="G4" s="15"/>
      <c r="I4" s="37" t="s">
        <v>11</v>
      </c>
      <c r="J4" s="38" t="s">
        <v>12</v>
      </c>
      <c r="K4" s="38"/>
      <c r="L4" s="38" t="s">
        <v>13</v>
      </c>
      <c r="M4" s="38" t="s">
        <v>14</v>
      </c>
      <c r="N4" s="39">
        <v>43831</v>
      </c>
      <c r="O4" s="39">
        <v>43837</v>
      </c>
      <c r="P4" s="40">
        <f>O4-N4</f>
        <v>6</v>
      </c>
      <c r="Q4" s="48"/>
    </row>
    <row r="5" ht="16.5" customHeight="1" spans="1:47">
      <c r="A5" s="16">
        <v>2023</v>
      </c>
      <c r="B5" s="16">
        <v>1901</v>
      </c>
      <c r="C5" s="17">
        <v>2</v>
      </c>
      <c r="D5" s="17">
        <v>1</v>
      </c>
      <c r="E5" s="18"/>
      <c r="F5" s="19">
        <f>IF(C5=2,IF(OR(A5/400=INT(A5/400),AND(A5/4=INT(A5/4),A5/100&lt;&gt;INT(A5/100))),29,28),IF(OR(C5=4,C5=6,C5=9,C5=11),30,31))</f>
        <v>28</v>
      </c>
      <c r="G5" s="18"/>
      <c r="I5" s="37">
        <v>1.1</v>
      </c>
      <c r="J5" s="38" t="s">
        <v>15</v>
      </c>
      <c r="K5" s="38"/>
      <c r="L5" s="38" t="s">
        <v>16</v>
      </c>
      <c r="M5" s="38" t="s">
        <v>14</v>
      </c>
      <c r="N5" s="39">
        <v>43846</v>
      </c>
      <c r="O5" s="39">
        <v>43847</v>
      </c>
      <c r="P5" s="40">
        <f t="shared" ref="P5:P32" si="0">O5-N5</f>
        <v>1</v>
      </c>
      <c r="Q5" s="48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customHeight="1" spans="1:47">
      <c r="A6" s="20" t="s">
        <v>17</v>
      </c>
      <c r="B6" s="20" t="s">
        <v>11</v>
      </c>
      <c r="C6" s="20" t="s">
        <v>18</v>
      </c>
      <c r="D6" s="20" t="s">
        <v>19</v>
      </c>
      <c r="E6" s="20" t="s">
        <v>20</v>
      </c>
      <c r="F6" s="20" t="s">
        <v>21</v>
      </c>
      <c r="G6" s="20" t="s">
        <v>22</v>
      </c>
      <c r="I6" s="37">
        <v>1.2</v>
      </c>
      <c r="J6" s="38" t="s">
        <v>23</v>
      </c>
      <c r="K6" s="38"/>
      <c r="L6" s="38" t="s">
        <v>24</v>
      </c>
      <c r="M6" s="38" t="s">
        <v>14</v>
      </c>
      <c r="N6" s="39">
        <v>43836</v>
      </c>
      <c r="O6" s="39">
        <v>43852</v>
      </c>
      <c r="P6" s="40">
        <f t="shared" si="0"/>
        <v>16</v>
      </c>
      <c r="Q6" s="48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</row>
    <row r="7" customHeight="1" spans="1:47">
      <c r="A7" s="21">
        <f>IF(A62=1,1,0)</f>
        <v>0</v>
      </c>
      <c r="B7" s="21">
        <f t="shared" ref="B7:G7" si="1">IF(A7&gt;0,A7+1,IF(B62=1,1,0))</f>
        <v>0</v>
      </c>
      <c r="C7" s="21">
        <f t="shared" si="1"/>
        <v>0</v>
      </c>
      <c r="D7" s="21">
        <f t="shared" si="1"/>
        <v>1</v>
      </c>
      <c r="E7" s="21">
        <f t="shared" si="1"/>
        <v>2</v>
      </c>
      <c r="F7" s="21">
        <f t="shared" si="1"/>
        <v>3</v>
      </c>
      <c r="G7" s="21">
        <f t="shared" si="1"/>
        <v>4</v>
      </c>
      <c r="I7" s="37">
        <v>1.3</v>
      </c>
      <c r="J7" s="38" t="s">
        <v>25</v>
      </c>
      <c r="K7" s="38"/>
      <c r="L7" s="38" t="s">
        <v>13</v>
      </c>
      <c r="M7" s="38" t="s">
        <v>14</v>
      </c>
      <c r="N7" s="39">
        <v>43851</v>
      </c>
      <c r="O7" s="39">
        <v>43854</v>
      </c>
      <c r="P7" s="40">
        <f t="shared" si="0"/>
        <v>3</v>
      </c>
      <c r="Q7" s="48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customHeight="1" spans="1:47">
      <c r="A8" s="21">
        <f>G7+1</f>
        <v>5</v>
      </c>
      <c r="B8" s="21">
        <f t="shared" ref="B8:G10" si="2">A8+1</f>
        <v>6</v>
      </c>
      <c r="C8" s="21">
        <f t="shared" si="2"/>
        <v>7</v>
      </c>
      <c r="D8" s="21">
        <f t="shared" si="2"/>
        <v>8</v>
      </c>
      <c r="E8" s="21">
        <f t="shared" si="2"/>
        <v>9</v>
      </c>
      <c r="F8" s="21">
        <f t="shared" si="2"/>
        <v>10</v>
      </c>
      <c r="G8" s="21">
        <f t="shared" si="2"/>
        <v>11</v>
      </c>
      <c r="I8" s="37">
        <v>1.4</v>
      </c>
      <c r="J8" s="38" t="s">
        <v>26</v>
      </c>
      <c r="K8" s="38"/>
      <c r="L8" s="38" t="s">
        <v>16</v>
      </c>
      <c r="M8" s="38" t="s">
        <v>14</v>
      </c>
      <c r="N8" s="39">
        <v>43848</v>
      </c>
      <c r="O8" s="39">
        <v>43855</v>
      </c>
      <c r="P8" s="40">
        <f t="shared" si="0"/>
        <v>7</v>
      </c>
      <c r="Q8" s="48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</row>
    <row r="9" customHeight="1" spans="1:47">
      <c r="A9" s="21">
        <f>G8+1</f>
        <v>12</v>
      </c>
      <c r="B9" s="21">
        <f t="shared" si="2"/>
        <v>13</v>
      </c>
      <c r="C9" s="21">
        <f t="shared" si="2"/>
        <v>14</v>
      </c>
      <c r="D9" s="21">
        <f t="shared" si="2"/>
        <v>15</v>
      </c>
      <c r="E9" s="21">
        <f t="shared" si="2"/>
        <v>16</v>
      </c>
      <c r="F9" s="21">
        <f t="shared" si="2"/>
        <v>17</v>
      </c>
      <c r="G9" s="21">
        <f t="shared" si="2"/>
        <v>18</v>
      </c>
      <c r="I9" s="37">
        <v>1.5</v>
      </c>
      <c r="J9" s="38" t="s">
        <v>27</v>
      </c>
      <c r="K9" s="38"/>
      <c r="L9" s="38" t="s">
        <v>24</v>
      </c>
      <c r="M9" s="38" t="s">
        <v>14</v>
      </c>
      <c r="N9" s="39">
        <v>43845</v>
      </c>
      <c r="O9" s="39">
        <v>43861</v>
      </c>
      <c r="P9" s="40">
        <f t="shared" si="0"/>
        <v>16</v>
      </c>
      <c r="Q9" s="48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</row>
    <row r="10" customHeight="1" spans="1:47">
      <c r="A10" s="21">
        <f>G9+1</f>
        <v>19</v>
      </c>
      <c r="B10" s="21">
        <f t="shared" si="2"/>
        <v>20</v>
      </c>
      <c r="C10" s="21">
        <f t="shared" si="2"/>
        <v>21</v>
      </c>
      <c r="D10" s="21">
        <f t="shared" si="2"/>
        <v>22</v>
      </c>
      <c r="E10" s="21">
        <f t="shared" si="2"/>
        <v>23</v>
      </c>
      <c r="F10" s="21">
        <f t="shared" si="2"/>
        <v>24</v>
      </c>
      <c r="G10" s="21">
        <f t="shared" si="2"/>
        <v>25</v>
      </c>
      <c r="I10" s="37" t="s">
        <v>18</v>
      </c>
      <c r="J10" s="38" t="s">
        <v>28</v>
      </c>
      <c r="K10" s="38"/>
      <c r="L10" s="38" t="s">
        <v>13</v>
      </c>
      <c r="M10" s="38" t="s">
        <v>14</v>
      </c>
      <c r="N10" s="39">
        <v>43831</v>
      </c>
      <c r="O10" s="39">
        <v>43832</v>
      </c>
      <c r="P10" s="40">
        <f t="shared" si="0"/>
        <v>1</v>
      </c>
      <c r="Q10" s="48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</row>
    <row r="11" customHeight="1" spans="1:47">
      <c r="A11" s="21">
        <f>IF(G10+1&gt;$F$5,0,G10+1)</f>
        <v>26</v>
      </c>
      <c r="B11" s="21">
        <f t="shared" ref="B11:G12" si="3">IF(A11=0,0,IF(A11+1&gt;$F$5,0,A11+1))</f>
        <v>27</v>
      </c>
      <c r="C11" s="21">
        <f t="shared" si="3"/>
        <v>28</v>
      </c>
      <c r="D11" s="21">
        <f t="shared" si="3"/>
        <v>0</v>
      </c>
      <c r="E11" s="21">
        <f t="shared" si="3"/>
        <v>0</v>
      </c>
      <c r="F11" s="21">
        <f t="shared" si="3"/>
        <v>0</v>
      </c>
      <c r="G11" s="21">
        <f t="shared" si="3"/>
        <v>0</v>
      </c>
      <c r="I11" s="37">
        <v>2.1</v>
      </c>
      <c r="J11" s="38" t="s">
        <v>29</v>
      </c>
      <c r="K11" s="38"/>
      <c r="L11" s="38" t="s">
        <v>16</v>
      </c>
      <c r="M11" s="38" t="s">
        <v>14</v>
      </c>
      <c r="N11" s="39">
        <v>43853</v>
      </c>
      <c r="O11" s="39">
        <v>43861</v>
      </c>
      <c r="P11" s="40">
        <f t="shared" si="0"/>
        <v>8</v>
      </c>
      <c r="Q11" s="48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</row>
    <row r="12" customHeight="1" spans="1:16361">
      <c r="A12" s="22">
        <f>IF(G11=0,0,IF(G11+1&gt;$F$5,0,G11+1))</f>
        <v>0</v>
      </c>
      <c r="B12" s="22">
        <f t="shared" si="3"/>
        <v>0</v>
      </c>
      <c r="C12" s="22">
        <f t="shared" si="3"/>
        <v>0</v>
      </c>
      <c r="D12" s="22">
        <f t="shared" si="3"/>
        <v>0</v>
      </c>
      <c r="E12" s="22">
        <f t="shared" si="3"/>
        <v>0</v>
      </c>
      <c r="F12" s="22">
        <f t="shared" si="3"/>
        <v>0</v>
      </c>
      <c r="G12" s="22">
        <f t="shared" si="3"/>
        <v>0</v>
      </c>
      <c r="I12" s="37">
        <v>2.2</v>
      </c>
      <c r="J12" s="38" t="s">
        <v>30</v>
      </c>
      <c r="K12" s="38"/>
      <c r="L12" s="38" t="s">
        <v>24</v>
      </c>
      <c r="M12" s="38" t="s">
        <v>14</v>
      </c>
      <c r="N12" s="39">
        <v>43857</v>
      </c>
      <c r="O12" s="39">
        <v>43860</v>
      </c>
      <c r="P12" s="40">
        <f t="shared" si="0"/>
        <v>3</v>
      </c>
      <c r="Q12" s="48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XEG12" s="51" t="s">
        <v>31</v>
      </c>
    </row>
    <row r="13" customHeight="1" spans="1:47">
      <c r="A13" s="23" t="s">
        <v>32</v>
      </c>
      <c r="B13" s="23"/>
      <c r="C13" s="23"/>
      <c r="D13" s="23"/>
      <c r="E13" s="23"/>
      <c r="F13" s="23"/>
      <c r="G13" s="23"/>
      <c r="I13" s="37">
        <v>2.3</v>
      </c>
      <c r="J13" s="38" t="s">
        <v>33</v>
      </c>
      <c r="K13" s="38"/>
      <c r="L13" s="38" t="s">
        <v>13</v>
      </c>
      <c r="M13" s="38" t="s">
        <v>14</v>
      </c>
      <c r="N13" s="39">
        <v>43843</v>
      </c>
      <c r="O13" s="39">
        <v>43861</v>
      </c>
      <c r="P13" s="40">
        <f t="shared" si="0"/>
        <v>18</v>
      </c>
      <c r="Q13" s="48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</row>
    <row r="14" customHeight="1" spans="1:47">
      <c r="A14" s="24"/>
      <c r="B14" s="24"/>
      <c r="C14" s="24"/>
      <c r="D14" s="24"/>
      <c r="E14" s="24"/>
      <c r="F14" s="24"/>
      <c r="G14" s="24"/>
      <c r="I14" s="37">
        <v>2.4</v>
      </c>
      <c r="J14" s="38" t="s">
        <v>12</v>
      </c>
      <c r="K14" s="38"/>
      <c r="L14" s="38" t="s">
        <v>16</v>
      </c>
      <c r="M14" s="38" t="s">
        <v>14</v>
      </c>
      <c r="N14" s="39">
        <v>43862</v>
      </c>
      <c r="O14" s="39">
        <v>43867</v>
      </c>
      <c r="P14" s="40">
        <f t="shared" si="0"/>
        <v>5</v>
      </c>
      <c r="Q14" s="48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</row>
    <row r="15" customHeight="1" spans="1:47">
      <c r="A15" s="24"/>
      <c r="B15" s="24"/>
      <c r="C15" s="24"/>
      <c r="D15" s="24"/>
      <c r="E15" s="24"/>
      <c r="F15" s="24"/>
      <c r="G15" s="24"/>
      <c r="I15" s="37">
        <v>2.5</v>
      </c>
      <c r="J15" s="38" t="s">
        <v>15</v>
      </c>
      <c r="K15" s="38"/>
      <c r="L15" s="38" t="s">
        <v>24</v>
      </c>
      <c r="M15" s="38" t="s">
        <v>14</v>
      </c>
      <c r="N15" s="39">
        <v>43866</v>
      </c>
      <c r="O15" s="39">
        <v>43869</v>
      </c>
      <c r="P15" s="40">
        <f t="shared" si="0"/>
        <v>3</v>
      </c>
      <c r="Q15" s="48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</row>
    <row r="16" customHeight="1" spans="1:47">
      <c r="A16" s="24"/>
      <c r="B16" s="24"/>
      <c r="C16" s="24"/>
      <c r="D16" s="24"/>
      <c r="E16" s="24"/>
      <c r="F16" s="24"/>
      <c r="G16" s="24"/>
      <c r="I16" s="37" t="s">
        <v>19</v>
      </c>
      <c r="J16" s="38" t="s">
        <v>23</v>
      </c>
      <c r="K16" s="38"/>
      <c r="L16" s="38" t="s">
        <v>13</v>
      </c>
      <c r="M16" s="38" t="s">
        <v>14</v>
      </c>
      <c r="N16" s="39">
        <v>43866</v>
      </c>
      <c r="O16" s="39">
        <v>43871</v>
      </c>
      <c r="P16" s="40">
        <f t="shared" si="0"/>
        <v>5</v>
      </c>
      <c r="Q16" s="48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</row>
    <row r="17" customHeight="1" spans="1:47">
      <c r="A17" s="24"/>
      <c r="B17" s="24"/>
      <c r="C17" s="24"/>
      <c r="D17" s="24"/>
      <c r="E17" s="24"/>
      <c r="F17" s="24"/>
      <c r="G17" s="24"/>
      <c r="I17" s="37">
        <v>3.1</v>
      </c>
      <c r="J17" s="38" t="s">
        <v>25</v>
      </c>
      <c r="K17" s="38"/>
      <c r="L17" s="38" t="s">
        <v>16</v>
      </c>
      <c r="M17" s="38" t="s">
        <v>14</v>
      </c>
      <c r="N17" s="39">
        <v>43865</v>
      </c>
      <c r="O17" s="39">
        <v>43875</v>
      </c>
      <c r="P17" s="40">
        <f t="shared" si="0"/>
        <v>10</v>
      </c>
      <c r="Q17" s="48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</row>
    <row r="18" customHeight="1" spans="1:47">
      <c r="A18" s="24"/>
      <c r="B18" s="24"/>
      <c r="C18" s="24"/>
      <c r="D18" s="24"/>
      <c r="E18" s="24"/>
      <c r="F18" s="24"/>
      <c r="G18" s="24"/>
      <c r="I18" s="37">
        <v>3.2</v>
      </c>
      <c r="J18" s="38" t="s">
        <v>26</v>
      </c>
      <c r="K18" s="38"/>
      <c r="L18" s="38" t="s">
        <v>24</v>
      </c>
      <c r="M18" s="38" t="s">
        <v>14</v>
      </c>
      <c r="N18" s="39">
        <v>43871</v>
      </c>
      <c r="O18" s="39">
        <v>43876</v>
      </c>
      <c r="P18" s="40">
        <f t="shared" si="0"/>
        <v>5</v>
      </c>
      <c r="Q18" s="48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</row>
    <row r="19" customHeight="1" spans="1:47">
      <c r="A19" s="24"/>
      <c r="B19" s="24"/>
      <c r="C19" s="24"/>
      <c r="D19" s="24"/>
      <c r="E19" s="24"/>
      <c r="F19" s="24"/>
      <c r="G19" s="24"/>
      <c r="I19" s="37">
        <v>3.3</v>
      </c>
      <c r="J19" s="38" t="s">
        <v>26</v>
      </c>
      <c r="K19" s="38"/>
      <c r="L19" s="38" t="s">
        <v>13</v>
      </c>
      <c r="M19" s="38" t="s">
        <v>14</v>
      </c>
      <c r="N19" s="39">
        <v>43872</v>
      </c>
      <c r="O19" s="39">
        <v>43879</v>
      </c>
      <c r="P19" s="40">
        <f t="shared" si="0"/>
        <v>7</v>
      </c>
      <c r="Q19" s="48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</row>
    <row r="20" customHeight="1" spans="1:47">
      <c r="A20" s="24"/>
      <c r="B20" s="24"/>
      <c r="C20" s="24"/>
      <c r="D20" s="24"/>
      <c r="E20" s="24"/>
      <c r="F20" s="24"/>
      <c r="G20" s="24"/>
      <c r="I20" s="37">
        <v>3.4</v>
      </c>
      <c r="J20" s="38" t="s">
        <v>26</v>
      </c>
      <c r="K20" s="38"/>
      <c r="L20" s="38" t="s">
        <v>16</v>
      </c>
      <c r="M20" s="38" t="s">
        <v>14</v>
      </c>
      <c r="N20" s="39">
        <v>43873</v>
      </c>
      <c r="O20" s="39">
        <v>43879</v>
      </c>
      <c r="P20" s="40">
        <f t="shared" si="0"/>
        <v>6</v>
      </c>
      <c r="Q20" s="48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</row>
    <row r="21" customHeight="1" spans="1:47">
      <c r="A21" s="24"/>
      <c r="B21" s="24"/>
      <c r="C21" s="24"/>
      <c r="D21" s="24"/>
      <c r="E21" s="24"/>
      <c r="F21" s="24"/>
      <c r="G21" s="24"/>
      <c r="I21" s="37" t="s">
        <v>20</v>
      </c>
      <c r="J21" s="38"/>
      <c r="K21" s="38"/>
      <c r="L21" s="38"/>
      <c r="M21" s="38"/>
      <c r="N21" s="39"/>
      <c r="O21" s="39"/>
      <c r="P21" s="40">
        <f t="shared" si="0"/>
        <v>0</v>
      </c>
      <c r="Q21" s="48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</row>
    <row r="22" customHeight="1" spans="1:47">
      <c r="A22" s="24"/>
      <c r="B22" s="24"/>
      <c r="C22" s="24"/>
      <c r="D22" s="24"/>
      <c r="E22" s="24"/>
      <c r="F22" s="24"/>
      <c r="G22" s="24"/>
      <c r="I22" s="37">
        <v>19</v>
      </c>
      <c r="J22" s="38"/>
      <c r="K22" s="38"/>
      <c r="L22" s="38"/>
      <c r="M22" s="38"/>
      <c r="N22" s="39"/>
      <c r="O22" s="39"/>
      <c r="P22" s="40">
        <f t="shared" si="0"/>
        <v>0</v>
      </c>
      <c r="Q22" s="48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</row>
    <row r="23" customHeight="1" spans="1:47">
      <c r="A23" s="24"/>
      <c r="B23" s="24"/>
      <c r="C23" s="24"/>
      <c r="D23" s="24"/>
      <c r="E23" s="24"/>
      <c r="F23" s="24"/>
      <c r="G23" s="24"/>
      <c r="I23" s="37">
        <v>20</v>
      </c>
      <c r="J23" s="38"/>
      <c r="K23" s="38"/>
      <c r="L23" s="38"/>
      <c r="M23" s="38"/>
      <c r="N23" s="39"/>
      <c r="O23" s="39"/>
      <c r="P23" s="40">
        <f t="shared" si="0"/>
        <v>0</v>
      </c>
      <c r="Q23" s="48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</row>
    <row r="24" customHeight="1" spans="1:47">
      <c r="A24" s="24"/>
      <c r="B24" s="24"/>
      <c r="C24" s="24"/>
      <c r="D24" s="24"/>
      <c r="E24" s="24"/>
      <c r="F24" s="24"/>
      <c r="G24" s="24"/>
      <c r="I24" s="37">
        <v>21</v>
      </c>
      <c r="J24" s="38"/>
      <c r="K24" s="38"/>
      <c r="L24" s="38"/>
      <c r="M24" s="38"/>
      <c r="N24" s="39"/>
      <c r="O24" s="39"/>
      <c r="P24" s="40">
        <f t="shared" si="0"/>
        <v>0</v>
      </c>
      <c r="Q24" s="48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</row>
    <row r="25" customHeight="1" spans="1:47">
      <c r="A25" s="24"/>
      <c r="B25" s="24"/>
      <c r="C25" s="24"/>
      <c r="D25" s="24"/>
      <c r="E25" s="24"/>
      <c r="F25" s="24"/>
      <c r="G25" s="24"/>
      <c r="I25" s="37">
        <v>22</v>
      </c>
      <c r="J25" s="38"/>
      <c r="K25" s="38"/>
      <c r="L25" s="38"/>
      <c r="M25" s="38"/>
      <c r="N25" s="39"/>
      <c r="O25" s="39"/>
      <c r="P25" s="40">
        <f t="shared" si="0"/>
        <v>0</v>
      </c>
      <c r="Q25" s="48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</row>
    <row r="26" customHeight="1" spans="1:47">
      <c r="A26" s="24"/>
      <c r="B26" s="24"/>
      <c r="C26" s="24"/>
      <c r="D26" s="24"/>
      <c r="E26" s="24"/>
      <c r="F26" s="24"/>
      <c r="G26" s="24"/>
      <c r="I26" s="37">
        <v>23</v>
      </c>
      <c r="J26" s="38"/>
      <c r="K26" s="38"/>
      <c r="L26" s="38"/>
      <c r="M26" s="38"/>
      <c r="N26" s="39"/>
      <c r="O26" s="39"/>
      <c r="P26" s="40">
        <f t="shared" si="0"/>
        <v>0</v>
      </c>
      <c r="Q26" s="48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</row>
    <row r="27" customHeight="1" spans="1:47">
      <c r="A27" s="24"/>
      <c r="B27" s="24"/>
      <c r="C27" s="24"/>
      <c r="D27" s="24"/>
      <c r="E27" s="24"/>
      <c r="F27" s="24"/>
      <c r="G27" s="24"/>
      <c r="I27" s="37">
        <v>24</v>
      </c>
      <c r="J27" s="38"/>
      <c r="K27" s="38"/>
      <c r="L27" s="38"/>
      <c r="M27" s="38"/>
      <c r="N27" s="39"/>
      <c r="O27" s="39"/>
      <c r="P27" s="40">
        <f t="shared" si="0"/>
        <v>0</v>
      </c>
      <c r="Q27" s="48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</row>
    <row r="28" customHeight="1" spans="1:47">
      <c r="A28" s="24"/>
      <c r="B28" s="24"/>
      <c r="C28" s="24"/>
      <c r="D28" s="24"/>
      <c r="E28" s="24"/>
      <c r="F28" s="24"/>
      <c r="G28" s="24"/>
      <c r="I28" s="37">
        <v>25</v>
      </c>
      <c r="J28" s="38"/>
      <c r="K28" s="38"/>
      <c r="L28" s="38"/>
      <c r="M28" s="38"/>
      <c r="N28" s="39"/>
      <c r="O28" s="39"/>
      <c r="P28" s="40">
        <f t="shared" si="0"/>
        <v>0</v>
      </c>
      <c r="Q28" s="48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</row>
    <row r="29" customHeight="1" spans="1:47">
      <c r="A29" s="24"/>
      <c r="B29" s="24"/>
      <c r="C29" s="24"/>
      <c r="D29" s="24"/>
      <c r="E29" s="24"/>
      <c r="F29" s="24"/>
      <c r="G29" s="24"/>
      <c r="I29" s="37">
        <v>26</v>
      </c>
      <c r="J29" s="38"/>
      <c r="K29" s="38"/>
      <c r="L29" s="38"/>
      <c r="M29" s="38"/>
      <c r="N29" s="39"/>
      <c r="O29" s="39"/>
      <c r="P29" s="40">
        <f t="shared" si="0"/>
        <v>0</v>
      </c>
      <c r="Q29" s="48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</row>
    <row r="30" customHeight="1" spans="1:47">
      <c r="A30" s="24"/>
      <c r="B30" s="24"/>
      <c r="C30" s="24"/>
      <c r="D30" s="24"/>
      <c r="E30" s="24"/>
      <c r="F30" s="24"/>
      <c r="G30" s="24"/>
      <c r="I30" s="37">
        <v>27</v>
      </c>
      <c r="J30" s="38"/>
      <c r="K30" s="38"/>
      <c r="L30" s="38"/>
      <c r="M30" s="38"/>
      <c r="N30" s="39"/>
      <c r="O30" s="39"/>
      <c r="P30" s="40">
        <f t="shared" si="0"/>
        <v>0</v>
      </c>
      <c r="Q30" s="48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</row>
    <row r="31" customHeight="1" spans="1:47">
      <c r="A31" s="24"/>
      <c r="B31" s="24"/>
      <c r="C31" s="24"/>
      <c r="D31" s="24"/>
      <c r="E31" s="24"/>
      <c r="F31" s="24"/>
      <c r="G31" s="24"/>
      <c r="I31" s="37">
        <v>28</v>
      </c>
      <c r="J31" s="38"/>
      <c r="K31" s="38"/>
      <c r="L31" s="38"/>
      <c r="M31" s="38"/>
      <c r="N31" s="39"/>
      <c r="O31" s="39"/>
      <c r="P31" s="40">
        <f t="shared" si="0"/>
        <v>0</v>
      </c>
      <c r="Q31" s="48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</row>
    <row r="32" customHeight="1" spans="1:47">
      <c r="A32" s="24"/>
      <c r="B32" s="24"/>
      <c r="C32" s="24"/>
      <c r="D32" s="24"/>
      <c r="E32" s="24"/>
      <c r="F32" s="24"/>
      <c r="G32" s="24"/>
      <c r="I32" s="41">
        <v>29</v>
      </c>
      <c r="J32" s="42"/>
      <c r="K32" s="42"/>
      <c r="L32" s="42"/>
      <c r="M32" s="42"/>
      <c r="N32" s="43"/>
      <c r="O32" s="43"/>
      <c r="P32" s="44">
        <f t="shared" si="0"/>
        <v>0</v>
      </c>
      <c r="Q32" s="50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</row>
    <row r="61" customHeight="1" spans="1:7">
      <c r="A61" s="25">
        <v>7</v>
      </c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7">
        <v>6</v>
      </c>
    </row>
    <row r="62" customHeight="1" spans="1:7">
      <c r="A62" s="28">
        <f t="shared" ref="A62:G62" si="4">IF(WEEKDAY(DATE($A$5,$C$5,1),2)=A61,1,0)</f>
        <v>0</v>
      </c>
      <c r="B62" s="28">
        <f t="shared" si="4"/>
        <v>0</v>
      </c>
      <c r="C62" s="28">
        <f t="shared" si="4"/>
        <v>0</v>
      </c>
      <c r="D62" s="28">
        <f t="shared" si="4"/>
        <v>1</v>
      </c>
      <c r="E62" s="28">
        <f t="shared" si="4"/>
        <v>0</v>
      </c>
      <c r="F62" s="28">
        <f t="shared" si="4"/>
        <v>0</v>
      </c>
      <c r="G62" s="28">
        <f t="shared" si="4"/>
        <v>0</v>
      </c>
    </row>
    <row r="63" customHeight="1" spans="1:1">
      <c r="A63" s="29"/>
    </row>
    <row r="68" customHeight="1" spans="4:4">
      <c r="D68"/>
    </row>
  </sheetData>
  <mergeCells count="8">
    <mergeCell ref="A1:V1"/>
    <mergeCell ref="I2:K2"/>
    <mergeCell ref="L2:M2"/>
    <mergeCell ref="A4:G4"/>
    <mergeCell ref="A5:B5"/>
    <mergeCell ref="C5:D5"/>
    <mergeCell ref="A13:G32"/>
    <mergeCell ref="A2:G3"/>
  </mergeCells>
  <conditionalFormatting sqref="L3:L1048576">
    <cfRule type="cellIs" dxfId="0" priority="3" operator="equal">
      <formula>"中"</formula>
    </cfRule>
    <cfRule type="cellIs" dxfId="1" priority="4" operator="equal">
      <formula>"高"</formula>
    </cfRule>
  </conditionalFormatting>
  <conditionalFormatting sqref="P3:P1048576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{d3ff83b7-957e-49d5-8718-bf4508c01521}</x14:id>
        </ext>
      </extLst>
    </cfRule>
  </conditionalFormatting>
  <conditionalFormatting sqref="A7:G12 A13">
    <cfRule type="cellIs" dxfId="1" priority="1" operator="equal">
      <formula>DAY(TODAY())</formula>
    </cfRule>
  </conditionalFormatting>
  <dataValidations count="1">
    <dataValidation type="list" allowBlank="1" showInputMessage="1" showErrorMessage="1" sqref="L3:L1048576">
      <formula1>"高,中,低"</formula1>
    </dataValidation>
  </dataValidations>
  <pageMargins left="0.699305555555556" right="0.699305555555556" top="0.75" bottom="0.75" header="0.3" footer="0.3"/>
  <pageSetup paperSize="9" orientation="portrait"/>
  <headerFooter>
    <oddHeader>&amp;C&amp;G</oddHeader>
  </headerFooter>
  <drawing r:id="rId2"/>
  <legacyDrawing r:id="rId3"/>
  <legacyDrawingHF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Scroll Bar 2" r:id="rId4">
              <controlPr defaultSize="0">
                <anchor moveWithCells="1">
                  <from>
                    <xdr:col>13</xdr:col>
                    <xdr:colOff>47625</xdr:colOff>
                    <xdr:row>1</xdr:row>
                    <xdr:rowOff>9525</xdr:rowOff>
                  </from>
                  <to>
                    <xdr:col>16</xdr:col>
                    <xdr:colOff>390525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Spinner 3" r:id="rId5">
              <controlPr defaultSize="0">
                <anchor moveWithCells="1" sizeWithCells="1">
                  <from>
                    <xdr:col>1</xdr:col>
                    <xdr:colOff>295275</xdr:colOff>
                    <xdr:row>4</xdr:row>
                    <xdr:rowOff>9525</xdr:rowOff>
                  </from>
                  <to>
                    <xdr:col>1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Spinner 4" r:id="rId6">
              <controlPr defaultSize="0">
                <anchor moveWithCells="1" sizeWithCells="1">
                  <from>
                    <xdr:col>3</xdr:col>
                    <xdr:colOff>295275</xdr:colOff>
                    <xdr:row>4</xdr:row>
                    <xdr:rowOff>9525</xdr:rowOff>
                  </from>
                  <to>
                    <xdr:col>3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f83b7-957e-49d5-8718-bf4508c0152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P3:P1048576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"/>
  <sheetViews>
    <sheetView workbookViewId="0">
      <selection activeCell="C15" sqref="C15"/>
    </sheetView>
  </sheetViews>
  <sheetFormatPr defaultColWidth="9" defaultRowHeight="13.5" outlineLevelRow="4" outlineLevelCol="1"/>
  <cols>
    <col min="1" max="1" width="17.375" customWidth="1"/>
    <col min="2" max="2" width="23.375" customWidth="1"/>
  </cols>
  <sheetData>
    <row r="1" ht="59.25" customHeight="1" spans="1:2">
      <c r="A1" s="1" t="s">
        <v>34</v>
      </c>
      <c r="B1" s="1"/>
    </row>
    <row r="2" ht="27.75" customHeight="1" spans="1:2">
      <c r="A2" s="2" t="s">
        <v>35</v>
      </c>
      <c r="B2" s="3"/>
    </row>
    <row r="3" ht="27.75" customHeight="1" spans="1:2">
      <c r="A3" s="4">
        <v>255255255</v>
      </c>
      <c r="B3" s="5"/>
    </row>
    <row r="4" ht="27.75" customHeight="1" spans="1:2">
      <c r="A4" s="4">
        <v>225244243</v>
      </c>
      <c r="B4" s="6"/>
    </row>
    <row r="5" ht="27.75" customHeight="1" spans="1:2">
      <c r="A5" s="2" t="s">
        <v>36</v>
      </c>
      <c r="B5" s="7"/>
    </row>
  </sheetData>
  <mergeCells count="1">
    <mergeCell ref="A1:B1"/>
  </mergeCells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