
<file path=[Content_Types].xml><?xml version="1.0" encoding="utf-8"?>
<Types xmlns="http://schemas.openxmlformats.org/package/2006/content-types">
  <Default Extension="vml" ContentType="application/vnd.openxmlformats-officedocument.vmlDrawing"/>
  <Default Extension="jpeg" ContentType="image/jpe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yWindow="5625" windowWidth="9210" windowHeight="6555"/>
  </bookViews>
  <sheets>
    <sheet name="Sheet1" sheetId="3" r:id="rId1"/>
    <sheet name="基础" sheetId="4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D4" authorId="0">
      <text>
        <r>
          <rPr>
            <b/>
            <sz val="9"/>
            <rFont val="宋体"/>
            <charset val="134"/>
          </rPr>
          <t>作者：</t>
        </r>
      </text>
    </comment>
  </commentList>
</comments>
</file>

<file path=xl/sharedStrings.xml><?xml version="1.0" encoding="utf-8"?>
<sst xmlns="http://schemas.openxmlformats.org/spreadsheetml/2006/main" count="33">
  <si>
    <r>
      <rPr>
        <b/>
        <sz val="18"/>
        <color rgb="FF00B0F0"/>
        <rFont val="微软雅黑"/>
        <charset val="134"/>
      </rPr>
      <t xml:space="preserve">工作计划总结（日历版本）
</t>
    </r>
    <r>
      <rPr>
        <sz val="11"/>
        <color rgb="FF00B0F0"/>
        <rFont val="微软雅黑"/>
        <charset val="134"/>
      </rPr>
      <t xml:space="preserve">Summary of work plan (calendar version) </t>
    </r>
  </si>
  <si>
    <t>工作提示</t>
  </si>
  <si>
    <t>最近五天的工作计划</t>
  </si>
  <si>
    <t>星期日</t>
  </si>
  <si>
    <t>星期一</t>
  </si>
  <si>
    <t>星期二</t>
  </si>
  <si>
    <t>星期三</t>
  </si>
  <si>
    <t>星期四</t>
  </si>
  <si>
    <t>星期五</t>
  </si>
  <si>
    <t>星期六</t>
  </si>
  <si>
    <t>今天是</t>
  </si>
  <si>
    <t>本文档由稻壳儿奋斗的小青年设计制作，盗版必究。</t>
  </si>
  <si>
    <t>今日总结</t>
  </si>
  <si>
    <t>今日感悟</t>
  </si>
  <si>
    <t>生活，是一种经历，也是一种体验；生活是一种感受，也是一种积累。生活没有答案，生活不需要答案。当生活即将不属于你时，你才会发现：生活仅仅是一个过程，而这个过程无论多么复杂，最终结局都是一样的。生活注重的是过程，而不是结局。</t>
  </si>
  <si>
    <t>读书计划</t>
  </si>
  <si>
    <t>工作计划明细</t>
  </si>
  <si>
    <t>编号</t>
  </si>
  <si>
    <t>日期</t>
  </si>
  <si>
    <t>工作计划</t>
  </si>
  <si>
    <t>备注</t>
  </si>
  <si>
    <t>工作计划1</t>
  </si>
  <si>
    <t>工作计划2</t>
  </si>
  <si>
    <t>工作计划3</t>
  </si>
  <si>
    <t>工作计划4</t>
  </si>
  <si>
    <t>工作计划5</t>
  </si>
  <si>
    <t>工作计划6</t>
  </si>
  <si>
    <t>工作计划7</t>
  </si>
  <si>
    <t>工作计划8</t>
  </si>
  <si>
    <t>工作计划9</t>
  </si>
  <si>
    <t>工作计划10</t>
  </si>
  <si>
    <t>工作计划11</t>
  </si>
  <si>
    <t>工作计划12</t>
  </si>
</sst>
</file>

<file path=xl/styles.xml><?xml version="1.0" encoding="utf-8"?>
<styleSheet xmlns="http://schemas.openxmlformats.org/spreadsheetml/2006/main">
  <numFmts count="8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General\ &quot;月&quot;"/>
    <numFmt numFmtId="177" formatCode="General\ &quot;年&quot;"/>
    <numFmt numFmtId="178" formatCode="[$-804]aaaa;@"/>
    <numFmt numFmtId="179" formatCode="[$-F800]dddd\,\ mmmm\ dd\,\ yyyy"/>
  </numFmts>
  <fonts count="32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sz val="16"/>
      <color theme="1"/>
      <name val="微软雅黑"/>
      <charset val="134"/>
    </font>
    <font>
      <sz val="10"/>
      <color theme="0"/>
      <name val="微软雅黑"/>
      <charset val="134"/>
    </font>
    <font>
      <sz val="11"/>
      <color theme="0"/>
      <name val="微软雅黑"/>
      <charset val="134"/>
    </font>
    <font>
      <sz val="11"/>
      <color theme="1"/>
      <name val="微软雅黑"/>
      <charset val="134"/>
    </font>
    <font>
      <b/>
      <sz val="18"/>
      <color rgb="FF00B0F0"/>
      <name val="微软雅黑"/>
      <charset val="134"/>
    </font>
    <font>
      <sz val="11"/>
      <color theme="1" tint="0.0499893185216834"/>
      <name val="微软雅黑"/>
      <charset val="134"/>
    </font>
    <font>
      <sz val="11"/>
      <color rgb="FF00B0F0"/>
      <name val="微软雅黑"/>
      <charset val="134"/>
    </font>
    <font>
      <sz val="12"/>
      <color rgb="FFFF0000"/>
      <name val="微软雅黑"/>
      <charset val="134"/>
    </font>
    <font>
      <sz val="12"/>
      <color theme="1" tint="0.249977111117893"/>
      <name val="微软雅黑"/>
      <charset val="134"/>
    </font>
    <font>
      <b/>
      <sz val="11"/>
      <color theme="0"/>
      <name val="微软雅黑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1"/>
      <name val="宋体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1" tint="0.049989318521683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5C181"/>
        <bgColor indexed="64"/>
      </patternFill>
    </fill>
    <fill>
      <patternFill patternType="solid">
        <fgColor rgb="FF00A79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6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36">
    <border>
      <left/>
      <right/>
      <top/>
      <bottom/>
      <diagonal/>
    </border>
    <border>
      <left style="thin">
        <color rgb="FF00A79D"/>
      </left>
      <right style="thin">
        <color rgb="FF00A79D"/>
      </right>
      <top style="thin">
        <color rgb="FF00A79D"/>
      </top>
      <bottom style="thin">
        <color rgb="FF00A79D"/>
      </bottom>
      <diagonal/>
    </border>
    <border>
      <left style="medium">
        <color rgb="FF00A79D"/>
      </left>
      <right/>
      <top style="medium">
        <color rgb="FF00A79D"/>
      </top>
      <bottom/>
      <diagonal/>
    </border>
    <border>
      <left/>
      <right/>
      <top style="medium">
        <color rgb="FF00A79D"/>
      </top>
      <bottom/>
      <diagonal/>
    </border>
    <border>
      <left style="thin">
        <color theme="0" tint="-0.149998474074526"/>
      </left>
      <right style="thin">
        <color theme="0" tint="-0.149998474074526"/>
      </right>
      <top style="medium">
        <color rgb="FF00A79D"/>
      </top>
      <bottom style="thin">
        <color theme="0" tint="-0.149998474074526"/>
      </bottom>
      <diagonal/>
    </border>
    <border>
      <left style="medium">
        <color rgb="FF00A79D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149998474074526"/>
      </left>
      <right style="thin">
        <color theme="0" tint="-0.149998474074526"/>
      </right>
      <top style="thin">
        <color theme="0" tint="-0.149998474074526"/>
      </top>
      <bottom style="thin">
        <color theme="0" tint="-0.149998474074526"/>
      </bottom>
      <diagonal/>
    </border>
    <border>
      <left style="medium">
        <color rgb="FF00A79D"/>
      </left>
      <right style="thin">
        <color theme="0" tint="-0.349986266670736"/>
      </right>
      <top/>
      <bottom style="thin">
        <color theme="0" tint="-0.349986266670736"/>
      </bottom>
      <diagonal/>
    </border>
    <border>
      <left style="thin">
        <color theme="0" tint="-0.349986266670736"/>
      </left>
      <right style="thin">
        <color theme="0" tint="-0.349986266670736"/>
      </right>
      <top/>
      <bottom style="thin">
        <color theme="0" tint="-0.349986266670736"/>
      </bottom>
      <diagonal/>
    </border>
    <border>
      <left style="thin">
        <color theme="0" tint="-0.349986266670736"/>
      </left>
      <right/>
      <top/>
      <bottom style="thin">
        <color theme="0" tint="-0.349986266670736"/>
      </bottom>
      <diagonal/>
    </border>
    <border>
      <left style="thin">
        <color theme="0" tint="-0.149998474074526"/>
      </left>
      <right style="thin">
        <color theme="0" tint="-0.149998474074526"/>
      </right>
      <top style="thin">
        <color theme="0" tint="-0.149998474074526"/>
      </top>
      <bottom/>
      <diagonal/>
    </border>
    <border>
      <left style="medium">
        <color rgb="FF00A79D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theme="0" tint="-0.349986266670736"/>
      </left>
      <right/>
      <top style="thin">
        <color theme="0" tint="-0.349986266670736"/>
      </top>
      <bottom style="thin">
        <color theme="0" tint="-0.349986266670736"/>
      </bottom>
      <diagonal/>
    </border>
    <border>
      <left style="medium">
        <color rgb="FF00A79D"/>
      </left>
      <right style="thin">
        <color theme="0" tint="-0.349986266670736"/>
      </right>
      <top style="thin">
        <color theme="0" tint="-0.349986266670736"/>
      </top>
      <bottom style="medium">
        <color rgb="FF00A79D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medium">
        <color rgb="FF00A79D"/>
      </bottom>
      <diagonal/>
    </border>
    <border>
      <left style="thin">
        <color theme="0" tint="-0.349986266670736"/>
      </left>
      <right/>
      <top style="thin">
        <color theme="0" tint="-0.349986266670736"/>
      </top>
      <bottom style="medium">
        <color rgb="FF00A79D"/>
      </bottom>
      <diagonal/>
    </border>
    <border>
      <left style="thin">
        <color rgb="FF00A79D"/>
      </left>
      <right/>
      <top style="thin">
        <color rgb="FF00A79D"/>
      </top>
      <bottom style="thin">
        <color rgb="FF00A79D"/>
      </bottom>
      <diagonal/>
    </border>
    <border>
      <left/>
      <right/>
      <top style="thin">
        <color rgb="FF00A79D"/>
      </top>
      <bottom style="thin">
        <color rgb="FF00A79D"/>
      </bottom>
      <diagonal/>
    </border>
    <border>
      <left style="thin">
        <color theme="0" tint="-0.149998474074526"/>
      </left>
      <right/>
      <top style="medium">
        <color rgb="FF00A79D"/>
      </top>
      <bottom style="thin">
        <color theme="0" tint="-0.149998474074526"/>
      </bottom>
      <diagonal/>
    </border>
    <border>
      <left style="thin">
        <color theme="0" tint="-0.149998474074526"/>
      </left>
      <right/>
      <top style="thin">
        <color theme="0" tint="-0.149998474074526"/>
      </top>
      <bottom style="thin">
        <color theme="0" tint="-0.149998474074526"/>
      </bottom>
      <diagonal/>
    </border>
    <border>
      <left style="thin">
        <color theme="0" tint="-0.149998474074526"/>
      </left>
      <right/>
      <top style="thin">
        <color theme="0" tint="-0.149998474074526"/>
      </top>
      <bottom/>
      <diagonal/>
    </border>
    <border>
      <left style="thin">
        <color rgb="FF00A79D"/>
      </left>
      <right style="thin">
        <color rgb="FF00A79D"/>
      </right>
      <top style="thin">
        <color rgb="FF00A79D"/>
      </top>
      <bottom/>
      <diagonal/>
    </border>
    <border>
      <left style="thin">
        <color rgb="FF00A79D"/>
      </left>
      <right style="thin">
        <color rgb="FF00A79D"/>
      </right>
      <top/>
      <bottom/>
      <diagonal/>
    </border>
    <border>
      <left style="thin">
        <color rgb="FF00A79D"/>
      </left>
      <right style="thin">
        <color rgb="FF00A79D"/>
      </right>
      <top/>
      <bottom style="thin">
        <color rgb="FF00A79D"/>
      </bottom>
      <diagonal/>
    </border>
    <border>
      <left/>
      <right style="thin">
        <color rgb="FF00A79D"/>
      </right>
      <top style="thin">
        <color rgb="FF00A79D"/>
      </top>
      <bottom style="thin">
        <color rgb="FF00A79D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13" fillId="0" borderId="0" applyFont="0" applyFill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22" fillId="23" borderId="31" applyNumberFormat="0" applyAlignment="0" applyProtection="0">
      <alignment vertical="center"/>
    </xf>
    <xf numFmtId="44" fontId="13" fillId="0" borderId="0" applyFont="0" applyFill="0" applyBorder="0" applyAlignment="0" applyProtection="0">
      <alignment vertical="center"/>
    </xf>
    <xf numFmtId="41" fontId="13" fillId="0" borderId="0" applyFont="0" applyFill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43" fontId="13" fillId="0" borderId="0" applyFont="0" applyFill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3" fillId="10" borderId="29" applyNumberFormat="0" applyFont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14" fillId="0" borderId="28" applyNumberFormat="0" applyFill="0" applyAlignment="0" applyProtection="0">
      <alignment vertical="center"/>
    </xf>
    <xf numFmtId="0" fontId="16" fillId="0" borderId="28" applyNumberFormat="0" applyFill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5" fillId="0" borderId="33" applyNumberFormat="0" applyFill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9" fillId="26" borderId="34" applyNumberFormat="0" applyAlignment="0" applyProtection="0">
      <alignment vertical="center"/>
    </xf>
    <xf numFmtId="0" fontId="23" fillId="26" borderId="31" applyNumberFormat="0" applyAlignment="0" applyProtection="0">
      <alignment vertical="center"/>
    </xf>
    <xf numFmtId="0" fontId="19" fillId="17" borderId="30" applyNumberFormat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20" fillId="40" borderId="0" applyNumberFormat="0" applyBorder="0" applyAlignment="0" applyProtection="0">
      <alignment vertical="center"/>
    </xf>
    <xf numFmtId="0" fontId="24" fillId="0" borderId="32" applyNumberFormat="0" applyFill="0" applyAlignment="0" applyProtection="0">
      <alignment vertical="center"/>
    </xf>
    <xf numFmtId="0" fontId="31" fillId="0" borderId="35" applyNumberFormat="0" applyFill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20" fillId="39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</cellStyleXfs>
  <cellXfs count="49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4" fillId="0" borderId="0" xfId="0" applyFont="1" applyBorder="1"/>
    <xf numFmtId="0" fontId="4" fillId="0" borderId="0" xfId="0" applyFont="1" applyBorder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6" fillId="3" borderId="0" xfId="0" applyFont="1" applyFill="1" applyBorder="1" applyAlignment="1">
      <alignment horizontal="center" vertical="center" wrapText="1"/>
    </xf>
    <xf numFmtId="0" fontId="6" fillId="3" borderId="0" xfId="0" applyFont="1" applyFill="1" applyBorder="1" applyAlignment="1">
      <alignment horizontal="center" vertical="center"/>
    </xf>
    <xf numFmtId="177" fontId="7" fillId="4" borderId="2" xfId="0" applyNumberFormat="1" applyFont="1" applyFill="1" applyBorder="1" applyAlignment="1">
      <alignment horizontal="center" vertical="center"/>
    </xf>
    <xf numFmtId="177" fontId="7" fillId="4" borderId="3" xfId="0" applyNumberFormat="1" applyFont="1" applyFill="1" applyBorder="1" applyAlignment="1">
      <alignment horizontal="center" vertical="center"/>
    </xf>
    <xf numFmtId="176" fontId="7" fillId="5" borderId="3" xfId="0" applyNumberFormat="1" applyFont="1" applyFill="1" applyBorder="1" applyAlignment="1">
      <alignment horizontal="center" vertical="center"/>
    </xf>
    <xf numFmtId="0" fontId="8" fillId="6" borderId="3" xfId="0" applyFont="1" applyFill="1" applyBorder="1" applyAlignment="1">
      <alignment vertical="center"/>
    </xf>
    <xf numFmtId="0" fontId="4" fillId="6" borderId="3" xfId="0" applyFont="1" applyFill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178" fontId="3" fillId="7" borderId="5" xfId="0" applyNumberFormat="1" applyFont="1" applyFill="1" applyBorder="1" applyAlignment="1">
      <alignment horizontal="center" vertical="center"/>
    </xf>
    <xf numFmtId="178" fontId="3" fillId="7" borderId="6" xfId="0" applyNumberFormat="1" applyFont="1" applyFill="1" applyBorder="1" applyAlignment="1">
      <alignment horizontal="center" vertical="center"/>
    </xf>
    <xf numFmtId="178" fontId="3" fillId="7" borderId="7" xfId="0" applyNumberFormat="1" applyFont="1" applyFill="1" applyBorder="1" applyAlignment="1">
      <alignment horizontal="center" vertical="center"/>
    </xf>
    <xf numFmtId="178" fontId="3" fillId="2" borderId="8" xfId="0" applyNumberFormat="1" applyFont="1" applyFill="1" applyBorder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0" fillId="6" borderId="10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179" fontId="5" fillId="4" borderId="12" xfId="0" applyNumberFormat="1" applyFont="1" applyFill="1" applyBorder="1" applyAlignment="1">
      <alignment horizontal="center" vertical="center"/>
    </xf>
    <xf numFmtId="0" fontId="9" fillId="6" borderId="13" xfId="0" applyFont="1" applyFill="1" applyBorder="1" applyAlignment="1">
      <alignment horizontal="center" vertical="center"/>
    </xf>
    <xf numFmtId="0" fontId="10" fillId="6" borderId="14" xfId="0" applyFont="1" applyFill="1" applyBorder="1" applyAlignment="1">
      <alignment horizontal="center" vertical="center"/>
    </xf>
    <xf numFmtId="0" fontId="9" fillId="6" borderId="15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6" borderId="16" xfId="0" applyFont="1" applyFill="1" applyBorder="1" applyAlignment="1">
      <alignment horizontal="center" vertical="center"/>
    </xf>
    <xf numFmtId="0" fontId="10" fillId="6" borderId="17" xfId="0" applyFont="1" applyFill="1" applyBorder="1" applyAlignment="1">
      <alignment horizontal="center" vertical="center"/>
    </xf>
    <xf numFmtId="0" fontId="9" fillId="6" borderId="18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0" fontId="5" fillId="0" borderId="19" xfId="0" applyFont="1" applyBorder="1" applyAlignment="1">
      <alignment horizontal="left" vertical="center" wrapText="1"/>
    </xf>
    <xf numFmtId="0" fontId="5" fillId="0" borderId="20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178" fontId="3" fillId="2" borderId="22" xfId="0" applyNumberFormat="1" applyFont="1" applyFill="1" applyBorder="1" applyAlignment="1">
      <alignment horizontal="center" vertical="center"/>
    </xf>
    <xf numFmtId="179" fontId="5" fillId="9" borderId="1" xfId="0" applyNumberFormat="1" applyFont="1" applyFill="1" applyBorder="1" applyAlignment="1">
      <alignment horizontal="center" vertical="center"/>
    </xf>
    <xf numFmtId="179" fontId="5" fillId="4" borderId="23" xfId="0" applyNumberFormat="1" applyFont="1" applyFill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left" vertical="center" wrapText="1"/>
    </xf>
    <xf numFmtId="0" fontId="4" fillId="0" borderId="0" xfId="0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0000A79D"/>
      <color rgb="00F5C181"/>
      <color rgb="0000706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Spin" dx="16" fmlaLink="$A$2" max="2050" min="1900" page="10" val="2019"/>
</file>

<file path=xl/ctrlProps/ctrlProp2.xml><?xml version="1.0" encoding="utf-8"?>
<formControlPr xmlns="http://schemas.microsoft.com/office/spreadsheetml/2009/9/main" objectType="Spin" dx="16" fmlaLink="$C$2" max="12" min="1" page="10" val="8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000125" y="695325"/>
              <a:ext cx="1619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1</xdr:row>
          <xdr:rowOff>0</xdr:rowOff>
        </xdr:from>
        <xdr:to>
          <xdr:col>4</xdr:col>
          <xdr:colOff>0</xdr:colOff>
          <xdr:row>2</xdr:row>
          <xdr:rowOff>0</xdr:rowOff>
        </xdr:to>
        <xdr:sp>
          <xdr:nvSpPr>
            <xdr:cNvPr id="2050" name="Spinner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2152650" y="695325"/>
              <a:ext cx="171450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209550</xdr:colOff>
      <xdr:row>0</xdr:row>
      <xdr:rowOff>601354</xdr:rowOff>
    </xdr:to>
    <xdr:pic>
      <xdr:nvPicPr>
        <xdr:cNvPr id="2" name="图片 1"/>
        <xdr:cNvPicPr>
          <a:picLocks noChangeAspect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71600" cy="6013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波形">
      <a:dk1>
        <a:sysClr val="windowText" lastClr="000000"/>
      </a:dk1>
      <a:lt1>
        <a:sysClr val="window" lastClr="FFFFFF"/>
      </a:lt1>
      <a:dk2>
        <a:srgbClr val="073E87"/>
      </a:dk2>
      <a:lt2>
        <a:srgbClr val="C6E7FC"/>
      </a:lt2>
      <a:accent1>
        <a:srgbClr val="31B6FD"/>
      </a:accent1>
      <a:accent2>
        <a:srgbClr val="4584D3"/>
      </a:accent2>
      <a:accent3>
        <a:srgbClr val="5BD078"/>
      </a:accent3>
      <a:accent4>
        <a:srgbClr val="A5D028"/>
      </a:accent4>
      <a:accent5>
        <a:srgbClr val="F5C040"/>
      </a:accent5>
      <a:accent6>
        <a:srgbClr val="05E0DB"/>
      </a:accent6>
      <a:hlink>
        <a:srgbClr val="0080FF"/>
      </a:hlink>
      <a:folHlink>
        <a:srgbClr val="5EAEFF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XEV18"/>
  <sheetViews>
    <sheetView showGridLines="0" showZeros="0" tabSelected="1" workbookViewId="0">
      <selection activeCell="A1" sqref="A1:N1"/>
    </sheetView>
  </sheetViews>
  <sheetFormatPr defaultColWidth="9" defaultRowHeight="16.5"/>
  <cols>
    <col min="1" max="7" width="7.625" style="9" customWidth="1"/>
    <col min="8" max="9" width="9.125" style="10" customWidth="1"/>
    <col min="10" max="14" width="17.375" style="9" customWidth="1"/>
    <col min="15" max="16384" width="9" style="9"/>
  </cols>
  <sheetData>
    <row r="1" ht="54.75" customHeight="1" spans="1:14">
      <c r="A1" s="11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ht="24.75" customHeight="1" spans="1:14">
      <c r="A2" s="13">
        <v>2019</v>
      </c>
      <c r="B2" s="14">
        <v>1901</v>
      </c>
      <c r="C2" s="15">
        <v>8</v>
      </c>
      <c r="D2" s="15">
        <v>1</v>
      </c>
      <c r="E2" s="16"/>
      <c r="F2" s="17">
        <f>IF(C2=2,IF(OR(A2/400=INT(A2/400),AND(A2/4=INT(A2/4),A2/100&lt;&gt;INT(A2/100))),29,28),IF(OR(C2=4,C2=6,C2=9,C2=11),30,31))</f>
        <v>31</v>
      </c>
      <c r="G2" s="16"/>
      <c r="H2" s="18" t="s">
        <v>1</v>
      </c>
      <c r="I2" s="40"/>
      <c r="J2" s="30" t="s">
        <v>2</v>
      </c>
      <c r="K2" s="30"/>
      <c r="L2" s="30"/>
      <c r="M2" s="30"/>
      <c r="N2" s="30"/>
    </row>
    <row r="3" ht="24.75" customHeight="1" spans="1:14">
      <c r="A3" s="19" t="s">
        <v>3</v>
      </c>
      <c r="B3" s="20" t="s">
        <v>4</v>
      </c>
      <c r="C3" s="20" t="s">
        <v>5</v>
      </c>
      <c r="D3" s="20" t="s">
        <v>6</v>
      </c>
      <c r="E3" s="20" t="s">
        <v>7</v>
      </c>
      <c r="F3" s="20" t="s">
        <v>8</v>
      </c>
      <c r="G3" s="21" t="s">
        <v>9</v>
      </c>
      <c r="H3" s="22" t="s">
        <v>10</v>
      </c>
      <c r="I3" s="41"/>
      <c r="J3" s="42">
        <f ca="1">H4+1</f>
        <v>44255</v>
      </c>
      <c r="K3" s="42">
        <f ca="1">H4+2</f>
        <v>44256</v>
      </c>
      <c r="L3" s="42">
        <f ca="1">H4+3</f>
        <v>44257</v>
      </c>
      <c r="M3" s="42">
        <f ca="1">H4+4</f>
        <v>44258</v>
      </c>
      <c r="N3" s="42">
        <f ca="1">H4+5</f>
        <v>44259</v>
      </c>
    </row>
    <row r="4" ht="24.75" customHeight="1" spans="1:14">
      <c r="A4" s="23">
        <f>IF(A11=1,1,0)</f>
        <v>0</v>
      </c>
      <c r="B4" s="24">
        <f t="shared" ref="B4:G4" si="0">IF(A4&gt;0,A4+1,IF(B11=1,1,0))</f>
        <v>0</v>
      </c>
      <c r="C4" s="24">
        <f t="shared" si="0"/>
        <v>0</v>
      </c>
      <c r="D4" s="24">
        <f t="shared" si="0"/>
        <v>0</v>
      </c>
      <c r="E4" s="24">
        <f t="shared" si="0"/>
        <v>1</v>
      </c>
      <c r="F4" s="24">
        <f t="shared" si="0"/>
        <v>2</v>
      </c>
      <c r="G4" s="25">
        <f t="shared" si="0"/>
        <v>3</v>
      </c>
      <c r="H4" s="26">
        <f ca="1">TODAY()</f>
        <v>44254</v>
      </c>
      <c r="I4" s="43"/>
      <c r="J4" s="44" t="str">
        <f ca="1">VLOOKUP(J3,基础!$B:$D,2,0)</f>
        <v>工作计划2</v>
      </c>
      <c r="K4" s="44" t="str">
        <f ca="1">VLOOKUP(K3,基础!$B:$D,2,0)</f>
        <v>工作计划3</v>
      </c>
      <c r="L4" s="44" t="str">
        <f ca="1">VLOOKUP(L3,基础!$B:$D,2,0)</f>
        <v>工作计划4</v>
      </c>
      <c r="M4" s="44" t="str">
        <f ca="1">VLOOKUP(M3,基础!$B:$D,2,0)</f>
        <v>工作计划5</v>
      </c>
      <c r="N4" s="44" t="str">
        <f ca="1">VLOOKUP(N3,基础!$B:$D,2,0)</f>
        <v>工作计划6</v>
      </c>
    </row>
    <row r="5" ht="24.75" customHeight="1" spans="1:16376">
      <c r="A5" s="27">
        <f>G4+1</f>
        <v>4</v>
      </c>
      <c r="B5" s="28">
        <f>A5+1</f>
        <v>5</v>
      </c>
      <c r="C5" s="28">
        <f t="shared" ref="C5:G5" si="1">B5+1</f>
        <v>6</v>
      </c>
      <c r="D5" s="28">
        <f t="shared" si="1"/>
        <v>7</v>
      </c>
      <c r="E5" s="28">
        <f t="shared" si="1"/>
        <v>8</v>
      </c>
      <c r="F5" s="28">
        <f t="shared" si="1"/>
        <v>9</v>
      </c>
      <c r="G5" s="29">
        <f t="shared" si="1"/>
        <v>10</v>
      </c>
      <c r="H5" s="30" t="str">
        <f ca="1">VLOOKUP(H4,基础!B:D,2,0)</f>
        <v>工作计划1</v>
      </c>
      <c r="I5" s="30"/>
      <c r="J5" s="45"/>
      <c r="K5" s="45"/>
      <c r="L5" s="45"/>
      <c r="M5" s="45"/>
      <c r="N5" s="45"/>
      <c r="XEV5" s="48" t="s">
        <v>11</v>
      </c>
    </row>
    <row r="6" ht="24.75" customHeight="1" spans="1:14">
      <c r="A6" s="27">
        <f>G5+1</f>
        <v>11</v>
      </c>
      <c r="B6" s="28">
        <f t="shared" ref="B6:G7" si="2">A6+1</f>
        <v>12</v>
      </c>
      <c r="C6" s="28">
        <f>B6+1</f>
        <v>13</v>
      </c>
      <c r="D6" s="28">
        <f t="shared" si="2"/>
        <v>14</v>
      </c>
      <c r="E6" s="28">
        <f t="shared" si="2"/>
        <v>15</v>
      </c>
      <c r="F6" s="28">
        <f t="shared" si="2"/>
        <v>16</v>
      </c>
      <c r="G6" s="29">
        <f t="shared" si="2"/>
        <v>17</v>
      </c>
      <c r="H6" s="30"/>
      <c r="I6" s="30"/>
      <c r="J6" s="45"/>
      <c r="K6" s="45"/>
      <c r="L6" s="45"/>
      <c r="M6" s="45"/>
      <c r="N6" s="45"/>
    </row>
    <row r="7" ht="24.75" customHeight="1" spans="1:14">
      <c r="A7" s="27">
        <f t="shared" ref="A7" si="3">G6+1</f>
        <v>18</v>
      </c>
      <c r="B7" s="28">
        <f t="shared" si="2"/>
        <v>19</v>
      </c>
      <c r="C7" s="28">
        <f t="shared" si="2"/>
        <v>20</v>
      </c>
      <c r="D7" s="28">
        <f t="shared" si="2"/>
        <v>21</v>
      </c>
      <c r="E7" s="28">
        <f t="shared" si="2"/>
        <v>22</v>
      </c>
      <c r="F7" s="28">
        <f t="shared" si="2"/>
        <v>23</v>
      </c>
      <c r="G7" s="29">
        <f t="shared" si="2"/>
        <v>24</v>
      </c>
      <c r="H7" s="30"/>
      <c r="I7" s="30"/>
      <c r="J7" s="45"/>
      <c r="K7" s="45"/>
      <c r="L7" s="45"/>
      <c r="M7" s="45"/>
      <c r="N7" s="45"/>
    </row>
    <row r="8" ht="24.75" customHeight="1" spans="1:14">
      <c r="A8" s="27">
        <f>IF(G7+1&gt;$F$2,0,G7+1)</f>
        <v>25</v>
      </c>
      <c r="B8" s="28">
        <f t="shared" ref="B8:G9" si="4">IF(A8=0,0,IF(A8+1&gt;$F$2,0,A8+1))</f>
        <v>26</v>
      </c>
      <c r="C8" s="28">
        <f t="shared" si="4"/>
        <v>27</v>
      </c>
      <c r="D8" s="28">
        <f t="shared" si="4"/>
        <v>28</v>
      </c>
      <c r="E8" s="28">
        <f t="shared" si="4"/>
        <v>29</v>
      </c>
      <c r="F8" s="28">
        <f t="shared" si="4"/>
        <v>30</v>
      </c>
      <c r="G8" s="29">
        <f t="shared" si="4"/>
        <v>31</v>
      </c>
      <c r="H8" s="30"/>
      <c r="I8" s="30"/>
      <c r="J8" s="45"/>
      <c r="K8" s="45"/>
      <c r="L8" s="45"/>
      <c r="M8" s="45"/>
      <c r="N8" s="45"/>
    </row>
    <row r="9" ht="24.75" customHeight="1" spans="1:14">
      <c r="A9" s="31">
        <f>IF(G8=0,0,IF(G8+1&gt;$F$2,0,G8+1))</f>
        <v>0</v>
      </c>
      <c r="B9" s="32">
        <f>IF(A9=0,0,IF(A9+1&gt;$F$2,0,A9+1))</f>
        <v>0</v>
      </c>
      <c r="C9" s="32">
        <f t="shared" si="4"/>
        <v>0</v>
      </c>
      <c r="D9" s="32">
        <f t="shared" si="4"/>
        <v>0</v>
      </c>
      <c r="E9" s="32">
        <f t="shared" si="4"/>
        <v>0</v>
      </c>
      <c r="F9" s="32">
        <f t="shared" si="4"/>
        <v>0</v>
      </c>
      <c r="G9" s="33">
        <f t="shared" si="4"/>
        <v>0</v>
      </c>
      <c r="H9" s="30"/>
      <c r="I9" s="30"/>
      <c r="J9" s="46"/>
      <c r="K9" s="46"/>
      <c r="L9" s="46"/>
      <c r="M9" s="46"/>
      <c r="N9" s="46"/>
    </row>
    <row r="10" s="6" customFormat="1" ht="5.25" customHeight="1" spans="1:9">
      <c r="A10" s="34">
        <v>7</v>
      </c>
      <c r="B10" s="34">
        <v>1</v>
      </c>
      <c r="C10" s="34">
        <v>2</v>
      </c>
      <c r="D10" s="34">
        <v>3</v>
      </c>
      <c r="E10" s="34">
        <v>4</v>
      </c>
      <c r="F10" s="34">
        <v>5</v>
      </c>
      <c r="G10" s="34">
        <v>6</v>
      </c>
      <c r="H10" s="34"/>
      <c r="I10" s="34"/>
    </row>
    <row r="11" s="6" customFormat="1" ht="5.25" customHeight="1" spans="1:9">
      <c r="A11" s="34">
        <f>IF(WEEKDAY(DATE($A$2,$C$2,1),2)=A10,1,0)</f>
        <v>0</v>
      </c>
      <c r="B11" s="34">
        <f t="shared" ref="B11:G11" si="5">IF(WEEKDAY(DATE($A$2,$C$2,1),2)=B10,1,0)</f>
        <v>0</v>
      </c>
      <c r="C11" s="34">
        <f t="shared" si="5"/>
        <v>0</v>
      </c>
      <c r="D11" s="34">
        <f t="shared" si="5"/>
        <v>0</v>
      </c>
      <c r="E11" s="34">
        <f t="shared" si="5"/>
        <v>1</v>
      </c>
      <c r="F11" s="34">
        <f t="shared" si="5"/>
        <v>0</v>
      </c>
      <c r="G11" s="34">
        <f t="shared" si="5"/>
        <v>0</v>
      </c>
      <c r="H11" s="34"/>
      <c r="I11" s="34"/>
    </row>
    <row r="12" s="6" customFormat="1" ht="5.25" customHeight="1" spans="1:9">
      <c r="A12" s="34"/>
      <c r="B12" s="34"/>
      <c r="C12" s="34"/>
      <c r="D12" s="34"/>
      <c r="E12" s="34"/>
      <c r="F12" s="34"/>
      <c r="G12" s="34"/>
      <c r="H12" s="34"/>
      <c r="I12" s="34"/>
    </row>
    <row r="13" s="7" customFormat="1" ht="82.5" customHeight="1" spans="1:14">
      <c r="A13" s="35" t="s">
        <v>12</v>
      </c>
      <c r="B13" s="35"/>
      <c r="C13" s="35"/>
      <c r="D13" s="35"/>
      <c r="E13" s="35"/>
      <c r="F13" s="30"/>
      <c r="G13" s="30"/>
      <c r="H13" s="30"/>
      <c r="I13" s="30"/>
      <c r="J13" s="30"/>
      <c r="K13" s="30"/>
      <c r="L13" s="30"/>
      <c r="M13" s="30"/>
      <c r="N13" s="30"/>
    </row>
    <row r="14" s="7" customFormat="1" ht="82.5" customHeight="1" spans="1:14">
      <c r="A14" s="35" t="s">
        <v>13</v>
      </c>
      <c r="B14" s="35"/>
      <c r="C14" s="35"/>
      <c r="D14" s="35"/>
      <c r="E14" s="35"/>
      <c r="F14" s="36" t="s">
        <v>14</v>
      </c>
      <c r="G14" s="37"/>
      <c r="H14" s="37"/>
      <c r="I14" s="37"/>
      <c r="J14" s="37"/>
      <c r="K14" s="37"/>
      <c r="L14" s="37"/>
      <c r="M14" s="37"/>
      <c r="N14" s="47"/>
    </row>
    <row r="15" s="7" customFormat="1" ht="82.5" customHeight="1" spans="1:14">
      <c r="A15" s="35" t="s">
        <v>15</v>
      </c>
      <c r="B15" s="35"/>
      <c r="C15" s="35"/>
      <c r="D15" s="35"/>
      <c r="E15" s="35"/>
      <c r="F15" s="38"/>
      <c r="G15" s="38"/>
      <c r="H15" s="38"/>
      <c r="I15" s="38"/>
      <c r="J15" s="38"/>
      <c r="K15" s="38"/>
      <c r="L15" s="38"/>
      <c r="M15" s="38"/>
      <c r="N15" s="38"/>
    </row>
    <row r="16" s="7" customFormat="1" ht="56.25" customHeight="1" spans="1:9">
      <c r="A16" s="39"/>
      <c r="B16" s="39"/>
      <c r="C16" s="39"/>
      <c r="D16" s="39"/>
      <c r="E16" s="39"/>
      <c r="H16" s="34"/>
      <c r="I16" s="34"/>
    </row>
    <row r="17" s="8" customFormat="1" ht="56.25" customHeight="1" spans="1:9">
      <c r="A17" s="39"/>
      <c r="B17" s="39"/>
      <c r="C17" s="39"/>
      <c r="D17" s="39"/>
      <c r="E17" s="39"/>
      <c r="H17" s="10"/>
      <c r="I17" s="10"/>
    </row>
    <row r="18" s="8" customFormat="1" ht="56.25" customHeight="1" spans="1:9">
      <c r="A18" s="39"/>
      <c r="B18" s="39"/>
      <c r="C18" s="39"/>
      <c r="D18" s="39"/>
      <c r="E18" s="39"/>
      <c r="H18" s="10"/>
      <c r="I18" s="10"/>
    </row>
  </sheetData>
  <mergeCells count="22">
    <mergeCell ref="A1:N1"/>
    <mergeCell ref="A2:B2"/>
    <mergeCell ref="C2:D2"/>
    <mergeCell ref="H2:I2"/>
    <mergeCell ref="J2:N2"/>
    <mergeCell ref="H3:I3"/>
    <mergeCell ref="H4:I4"/>
    <mergeCell ref="A13:E13"/>
    <mergeCell ref="F13:N13"/>
    <mergeCell ref="A14:E14"/>
    <mergeCell ref="F14:N14"/>
    <mergeCell ref="A15:E15"/>
    <mergeCell ref="F15:N15"/>
    <mergeCell ref="A16:E16"/>
    <mergeCell ref="A17:E17"/>
    <mergeCell ref="A18:E18"/>
    <mergeCell ref="J4:J9"/>
    <mergeCell ref="K4:K9"/>
    <mergeCell ref="L4:L9"/>
    <mergeCell ref="M4:M9"/>
    <mergeCell ref="N4:N9"/>
    <mergeCell ref="H5:I9"/>
  </mergeCells>
  <conditionalFormatting sqref="A2:G12 H3 A1 A19:G22 A13:A18 F16:G18 F13:F15">
    <cfRule type="cellIs" dxfId="0" priority="1" operator="equal">
      <formula>DAY(TODAY())</formula>
    </cfRule>
  </conditionalFormatting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Spinner 1" r:id="rId4">
              <controlPr defaultSize="0">
                <anchor moveWithCells="1" sizeWithCells="1">
                  <from>
                    <xdr:col>1</xdr:col>
                    <xdr:colOff>419100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Spinner 2" r:id="rId5">
              <controlPr defaultSize="0">
                <anchor moveWithCells="1" sizeWithCells="1">
                  <from>
                    <xdr:col>3</xdr:col>
                    <xdr:colOff>409575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14"/>
  <sheetViews>
    <sheetView workbookViewId="0">
      <selection activeCell="G19" sqref="G19"/>
    </sheetView>
  </sheetViews>
  <sheetFormatPr defaultColWidth="9" defaultRowHeight="26.25" customHeight="1" outlineLevelCol="3"/>
  <cols>
    <col min="1" max="1" width="5.25" style="1" customWidth="1"/>
    <col min="2" max="2" width="20.125" style="1" customWidth="1"/>
    <col min="3" max="3" width="18.25" style="1" customWidth="1"/>
    <col min="4" max="16384" width="9" style="1"/>
  </cols>
  <sheetData>
    <row r="1" ht="36.75" customHeight="1" spans="1:4">
      <c r="A1" s="2" t="s">
        <v>16</v>
      </c>
      <c r="B1" s="2"/>
      <c r="C1" s="2"/>
      <c r="D1" s="2"/>
    </row>
    <row r="2" customHeight="1" spans="1:4">
      <c r="A2" s="3" t="s">
        <v>17</v>
      </c>
      <c r="B2" s="3" t="s">
        <v>18</v>
      </c>
      <c r="C2" s="3" t="s">
        <v>19</v>
      </c>
      <c r="D2" s="3" t="s">
        <v>20</v>
      </c>
    </row>
    <row r="3" customHeight="1" spans="1:4">
      <c r="A3" s="4">
        <v>1</v>
      </c>
      <c r="B3" s="5">
        <f ca="1">TODAY()</f>
        <v>44254</v>
      </c>
      <c r="C3" s="4" t="s">
        <v>21</v>
      </c>
      <c r="D3" s="4"/>
    </row>
    <row r="4" customHeight="1" spans="1:4">
      <c r="A4" s="4">
        <v>2</v>
      </c>
      <c r="B4" s="5">
        <f ca="1">B3+1</f>
        <v>44255</v>
      </c>
      <c r="C4" s="4" t="s">
        <v>22</v>
      </c>
      <c r="D4" s="4"/>
    </row>
    <row r="5" customHeight="1" spans="1:4">
      <c r="A5" s="4">
        <v>3</v>
      </c>
      <c r="B5" s="5">
        <f ca="1">B4+1</f>
        <v>44256</v>
      </c>
      <c r="C5" s="4" t="s">
        <v>23</v>
      </c>
      <c r="D5" s="4"/>
    </row>
    <row r="6" customHeight="1" spans="1:4">
      <c r="A6" s="4">
        <v>4</v>
      </c>
      <c r="B6" s="5">
        <f ca="1" t="shared" ref="B6:B14" si="0">B5+1</f>
        <v>44257</v>
      </c>
      <c r="C6" s="4" t="s">
        <v>24</v>
      </c>
      <c r="D6" s="4"/>
    </row>
    <row r="7" customHeight="1" spans="1:4">
      <c r="A7" s="4">
        <v>5</v>
      </c>
      <c r="B7" s="5">
        <f ca="1" t="shared" si="0"/>
        <v>44258</v>
      </c>
      <c r="C7" s="4" t="s">
        <v>25</v>
      </c>
      <c r="D7" s="4"/>
    </row>
    <row r="8" customHeight="1" spans="1:4">
      <c r="A8" s="4">
        <v>6</v>
      </c>
      <c r="B8" s="5">
        <f ca="1" t="shared" si="0"/>
        <v>44259</v>
      </c>
      <c r="C8" s="4" t="s">
        <v>26</v>
      </c>
      <c r="D8" s="4"/>
    </row>
    <row r="9" customHeight="1" spans="1:4">
      <c r="A9" s="4">
        <v>7</v>
      </c>
      <c r="B9" s="5">
        <f ca="1" t="shared" si="0"/>
        <v>44260</v>
      </c>
      <c r="C9" s="4" t="s">
        <v>27</v>
      </c>
      <c r="D9" s="4"/>
    </row>
    <row r="10" customHeight="1" spans="1:4">
      <c r="A10" s="4">
        <v>8</v>
      </c>
      <c r="B10" s="5">
        <f ca="1" t="shared" si="0"/>
        <v>44261</v>
      </c>
      <c r="C10" s="4" t="s">
        <v>28</v>
      </c>
      <c r="D10" s="4"/>
    </row>
    <row r="11" customHeight="1" spans="1:4">
      <c r="A11" s="4">
        <v>9</v>
      </c>
      <c r="B11" s="5">
        <f ca="1" t="shared" si="0"/>
        <v>44262</v>
      </c>
      <c r="C11" s="4" t="s">
        <v>29</v>
      </c>
      <c r="D11" s="4"/>
    </row>
    <row r="12" customHeight="1" spans="1:4">
      <c r="A12" s="4">
        <v>10</v>
      </c>
      <c r="B12" s="5">
        <f ca="1" t="shared" si="0"/>
        <v>44263</v>
      </c>
      <c r="C12" s="4" t="s">
        <v>30</v>
      </c>
      <c r="D12" s="4"/>
    </row>
    <row r="13" customHeight="1" spans="1:4">
      <c r="A13" s="4">
        <v>11</v>
      </c>
      <c r="B13" s="5">
        <f ca="1" t="shared" si="0"/>
        <v>44264</v>
      </c>
      <c r="C13" s="4" t="s">
        <v>31</v>
      </c>
      <c r="D13" s="4"/>
    </row>
    <row r="14" customHeight="1" spans="1:4">
      <c r="A14" s="4">
        <v>12</v>
      </c>
      <c r="B14" s="5">
        <f ca="1" t="shared" si="0"/>
        <v>44265</v>
      </c>
      <c r="C14" s="4" t="s">
        <v>32</v>
      </c>
      <c r="D14" s="4"/>
    </row>
  </sheetData>
  <mergeCells count="1">
    <mergeCell ref="A1:D1"/>
  </mergeCells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基础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ccc</dc:creator>
  <cp:lastModifiedBy>Administrator</cp:lastModifiedBy>
  <dcterms:created xsi:type="dcterms:W3CDTF">2019-08-11T04:12:00Z</dcterms:created>
  <dcterms:modified xsi:type="dcterms:W3CDTF">2021-02-27T08:24:28Z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</Properties>
</file>