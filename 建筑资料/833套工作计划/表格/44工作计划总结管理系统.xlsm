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/>
  </bookViews>
  <sheets>
    <sheet name="目录" sheetId="14" r:id="rId1"/>
    <sheet name="1-月度工作计划表" sheetId="10" r:id="rId2"/>
    <sheet name="2-月度工作总结表" sheetId="11" r:id="rId3"/>
    <sheet name="3-年度工作总结表" sheetId="13" r:id="rId4"/>
    <sheet name="Sheet1" sheetId="15" r:id="rId5"/>
  </sheets>
  <externalReferences>
    <externalReference r:id="rId6"/>
  </externalReferences>
  <definedNames>
    <definedName name="照片" localSheetId="4">INDEX(#REF!,MATCH([1]报价单!$B$5,#REF!,0))</definedName>
    <definedName name="照片">INDEX(#REF!,MATCH([1]报价单!$B$5,#REF!,0))</definedName>
  </definedNames>
  <calcPr calcId="144525"/>
</workbook>
</file>

<file path=xl/sharedStrings.xml><?xml version="1.0" encoding="utf-8"?>
<sst xmlns="http://schemas.openxmlformats.org/spreadsheetml/2006/main" count="54">
  <si>
    <t>工作计划总结管理</t>
  </si>
  <si>
    <t>本文档由稻壳儿奋斗的小青年设计制作，盗版必究。</t>
  </si>
  <si>
    <r>
      <rPr>
        <b/>
        <sz val="20"/>
        <color theme="8" tint="-0.499984740745262"/>
        <rFont val="微软雅黑"/>
        <charset val="134"/>
      </rPr>
      <t>月度工作计划表</t>
    </r>
    <r>
      <rPr>
        <sz val="10"/>
        <color theme="1"/>
        <rFont val="微软雅黑"/>
        <charset val="134"/>
      </rPr>
      <t xml:space="preserve">
Monthly work schedule</t>
    </r>
  </si>
  <si>
    <t>序号</t>
  </si>
  <si>
    <t>模块</t>
  </si>
  <si>
    <t>工作名称</t>
  </si>
  <si>
    <t>工作内容</t>
  </si>
  <si>
    <t>拟开始时间</t>
  </si>
  <si>
    <t>拟完成时间</t>
  </si>
  <si>
    <t>第一责任人</t>
  </si>
  <si>
    <t>主要协助人</t>
  </si>
  <si>
    <t>工作要求</t>
  </si>
  <si>
    <t>拟输出结果</t>
  </si>
  <si>
    <t>工作来源</t>
  </si>
  <si>
    <t>备注</t>
  </si>
  <si>
    <t>绩效模块</t>
  </si>
  <si>
    <t>绩效承诺书签订</t>
  </si>
  <si>
    <t>签订完毕所有的绩效承诺书，包括各特殊机构</t>
  </si>
  <si>
    <t>王某</t>
  </si>
  <si>
    <t>高飞</t>
  </si>
  <si>
    <t>新增工作</t>
  </si>
  <si>
    <t>季度考核公文下发及宣导</t>
  </si>
  <si>
    <t>下发季度考核公文，并组织各专业部门进行宣导</t>
  </si>
  <si>
    <t>绩效承诺书调整准备</t>
  </si>
  <si>
    <t>确定是否需要调整绩效承诺书，如需要进行调整。预计在4月初调整完毕</t>
  </si>
  <si>
    <t>人事信息梳理</t>
  </si>
  <si>
    <t>逐个机构梳理人事信息，并完善，预计4月份完成；以后每半年度梳理一次，保证人事系统中的信息准确。</t>
  </si>
  <si>
    <t>上期未完成工作</t>
  </si>
  <si>
    <t>招聘管理</t>
  </si>
  <si>
    <t>培训管理</t>
  </si>
  <si>
    <t>绩效管理</t>
  </si>
  <si>
    <t>薪酬管理</t>
  </si>
  <si>
    <t>人力规划</t>
  </si>
  <si>
    <t>员工关系</t>
  </si>
  <si>
    <r>
      <rPr>
        <b/>
        <sz val="20"/>
        <color theme="8" tint="-0.499984740745262"/>
        <rFont val="微软雅黑"/>
        <charset val="134"/>
      </rPr>
      <t>月度工作总结表</t>
    </r>
    <r>
      <rPr>
        <sz val="10"/>
        <color theme="1"/>
        <rFont val="微软雅黑"/>
        <charset val="134"/>
      </rPr>
      <t xml:space="preserve">
Monthly work summary</t>
    </r>
  </si>
  <si>
    <t>开始时间</t>
  </si>
  <si>
    <t>完成时间</t>
  </si>
  <si>
    <t>完成情况</t>
  </si>
  <si>
    <t>未完成说明</t>
  </si>
  <si>
    <t>已完成</t>
  </si>
  <si>
    <t>未完成</t>
  </si>
  <si>
    <t>已变更</t>
  </si>
  <si>
    <t>已停止</t>
  </si>
  <si>
    <r>
      <rPr>
        <b/>
        <sz val="20"/>
        <color theme="8" tint="-0.499984740745262"/>
        <rFont val="微软雅黑"/>
        <charset val="134"/>
      </rPr>
      <t>年度工作总结表</t>
    </r>
    <r>
      <rPr>
        <sz val="10"/>
        <color theme="1"/>
        <rFont val="微软雅黑"/>
        <charset val="134"/>
      </rPr>
      <t xml:space="preserve">
Annual work summary </t>
    </r>
  </si>
  <si>
    <t>年度整体完成情况</t>
  </si>
  <si>
    <t>按员工分类</t>
  </si>
  <si>
    <t>类别</t>
  </si>
  <si>
    <t>数量</t>
  </si>
  <si>
    <t>姓名</t>
  </si>
  <si>
    <t>总工作数量</t>
  </si>
  <si>
    <t>已经完成</t>
  </si>
  <si>
    <t>已经停止</t>
  </si>
  <si>
    <t>已经变更</t>
  </si>
  <si>
    <t>2月21日颜色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</si>
</sst>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d"/>
    <numFmt numFmtId="178" formatCode="[$-F800]dddd\,\ mmmm\ dd\,\ yyyy"/>
  </numFmts>
  <fonts count="38">
    <font>
      <sz val="11"/>
      <color theme="1"/>
      <name val="宋体"/>
      <charset val="134"/>
      <scheme val="minor"/>
    </font>
    <font>
      <sz val="12"/>
      <color theme="1"/>
      <name val="微软雅黑"/>
      <charset val="134"/>
    </font>
    <font>
      <sz val="12"/>
      <color rgb="FFFF0000"/>
      <name val="微软雅黑"/>
      <charset val="134"/>
    </font>
    <font>
      <sz val="10"/>
      <color theme="1"/>
      <name val="微软雅黑"/>
      <charset val="134"/>
    </font>
    <font>
      <b/>
      <sz val="10"/>
      <color theme="0"/>
      <name val="微软雅黑"/>
      <charset val="134"/>
    </font>
    <font>
      <sz val="9"/>
      <color theme="1"/>
      <name val="微软雅黑"/>
      <charset val="134"/>
    </font>
    <font>
      <sz val="9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1"/>
      <name val="微软雅黑"/>
      <charset val="134"/>
    </font>
    <font>
      <b/>
      <sz val="16"/>
      <color rgb="FF33CCFF"/>
      <name val="微软雅黑"/>
      <charset val="134"/>
    </font>
    <font>
      <sz val="72"/>
      <color rgb="FF33CCFF"/>
      <name val="微软雅黑"/>
      <charset val="134"/>
    </font>
    <font>
      <u/>
      <sz val="16"/>
      <color rgb="FF33CCFF"/>
      <name val="微软雅黑"/>
      <charset val="134"/>
    </font>
    <font>
      <sz val="11"/>
      <color theme="0" tint="-0.249977111117893"/>
      <name val="微软雅黑"/>
      <charset val="134"/>
    </font>
    <font>
      <sz val="11"/>
      <color indexed="8"/>
      <name val="宋体"/>
      <charset val="134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2"/>
      <color indexed="8"/>
      <name val="宋体"/>
      <charset val="134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2"/>
      <name val="宋体"/>
      <charset val="134"/>
    </font>
    <font>
      <b/>
      <sz val="20"/>
      <color theme="8" tint="-0.499984740745262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rgb="FF71919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 style="thin">
        <color theme="0"/>
      </right>
      <top style="medium">
        <color theme="1"/>
      </top>
      <bottom/>
      <diagonal/>
    </border>
    <border>
      <left style="thin">
        <color theme="0"/>
      </left>
      <right style="thin">
        <color theme="0"/>
      </right>
      <top style="medium">
        <color theme="1"/>
      </top>
      <bottom/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1"/>
      </left>
      <right style="thin">
        <color theme="0" tint="-0.249977111117893"/>
      </right>
      <top/>
      <bottom/>
      <diagonal/>
    </border>
    <border>
      <left style="medium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auto="1"/>
      </left>
      <right style="thin">
        <color theme="0" tint="-0.249977111117893"/>
      </right>
      <top style="thin">
        <color theme="0" tint="-0.249977111117893"/>
      </top>
      <bottom style="medium">
        <color auto="1"/>
      </bottom>
      <diagonal/>
    </border>
    <border>
      <left style="thin">
        <color theme="0" tint="-0.249977111117893"/>
      </left>
      <right style="medium">
        <color auto="1"/>
      </right>
      <top style="thin">
        <color theme="0" tint="-0.249977111117893"/>
      </top>
      <bottom style="medium">
        <color auto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/>
      <top style="medium">
        <color theme="1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2">
    <xf numFmtId="0" fontId="0" fillId="0" borderId="0"/>
    <xf numFmtId="42" fontId="0" fillId="0" borderId="0" applyFont="0" applyFill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5" fillId="12" borderId="4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1" borderId="44" applyNumberFormat="0" applyFont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" fillId="0" borderId="42" applyNumberFormat="0" applyFill="0" applyAlignment="0" applyProtection="0">
      <alignment vertical="center"/>
    </xf>
    <xf numFmtId="0" fontId="27" fillId="0" borderId="42" applyNumberFormat="0" applyFill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16" fillId="0" borderId="46" applyNumberFormat="0" applyFill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4" fillId="9" borderId="48" applyNumberFormat="0" applyAlignment="0" applyProtection="0">
      <alignment vertical="center"/>
    </xf>
    <xf numFmtId="0" fontId="21" fillId="9" borderId="43" applyNumberFormat="0" applyAlignment="0" applyProtection="0">
      <alignment vertical="center"/>
    </xf>
    <xf numFmtId="0" fontId="32" fillId="23" borderId="47" applyNumberFormat="0" applyAlignment="0" applyProtection="0">
      <alignment vertical="center"/>
    </xf>
    <xf numFmtId="0" fontId="28" fillId="2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19" fillId="0" borderId="41" applyNumberFormat="0" applyFill="0" applyAlignment="0" applyProtection="0">
      <alignment vertical="center"/>
    </xf>
    <xf numFmtId="0" fontId="26" fillId="0" borderId="45" applyNumberFormat="0" applyFill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6" fillId="0" borderId="0"/>
    <xf numFmtId="0" fontId="28" fillId="13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15" fillId="0" borderId="0">
      <alignment vertical="center"/>
    </xf>
    <xf numFmtId="0" fontId="23" fillId="0" borderId="0" applyNumberFormat="0" applyBorder="0" applyProtection="0"/>
  </cellStyleXfs>
  <cellXfs count="8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3" fontId="2" fillId="0" borderId="3" xfId="0" applyNumberFormat="1" applyFont="1" applyBorder="1" applyAlignment="1">
      <alignment horizontal="center" vertical="center"/>
    </xf>
    <xf numFmtId="0" fontId="0" fillId="3" borderId="4" xfId="0" applyFill="1" applyBorder="1"/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176" fontId="4" fillId="3" borderId="6" xfId="0" applyNumberFormat="1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6" fillId="0" borderId="7" xfId="0" applyFont="1" applyBorder="1"/>
    <xf numFmtId="0" fontId="6" fillId="0" borderId="9" xfId="0" applyFont="1" applyBorder="1"/>
    <xf numFmtId="0" fontId="6" fillId="0" borderId="12" xfId="0" applyFont="1" applyBorder="1"/>
    <xf numFmtId="0" fontId="6" fillId="0" borderId="13" xfId="0" applyFont="1" applyBorder="1"/>
    <xf numFmtId="0" fontId="7" fillId="0" borderId="0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15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6" fillId="0" borderId="0" xfId="0" applyFont="1"/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6" fillId="0" borderId="16" xfId="0" applyFont="1" applyBorder="1"/>
    <xf numFmtId="0" fontId="6" fillId="0" borderId="12" xfId="0" applyFont="1" applyBorder="1" applyAlignment="1">
      <alignment horizontal="center"/>
    </xf>
    <xf numFmtId="0" fontId="6" fillId="0" borderId="24" xfId="0" applyFont="1" applyBorder="1"/>
    <xf numFmtId="0" fontId="8" fillId="4" borderId="25" xfId="0" applyFont="1" applyFill="1" applyBorder="1" applyAlignment="1">
      <alignment horizontal="center" vertical="center" wrapText="1"/>
    </xf>
    <xf numFmtId="0" fontId="8" fillId="4" borderId="26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9" fillId="0" borderId="0" xfId="0" applyFont="1"/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6" fillId="0" borderId="16" xfId="0" applyFont="1" applyBorder="1" applyAlignment="1">
      <alignment horizontal="center" vertical="center"/>
    </xf>
    <xf numFmtId="0" fontId="0" fillId="0" borderId="16" xfId="0" applyBorder="1"/>
    <xf numFmtId="0" fontId="0" fillId="0" borderId="24" xfId="0" applyBorder="1"/>
    <xf numFmtId="0" fontId="4" fillId="3" borderId="27" xfId="0" applyFont="1" applyFill="1" applyBorder="1" applyAlignment="1">
      <alignment horizontal="center" vertical="center" wrapText="1"/>
    </xf>
    <xf numFmtId="0" fontId="4" fillId="3" borderId="28" xfId="0" applyFont="1" applyFill="1" applyBorder="1" applyAlignment="1">
      <alignment horizontal="center" vertical="center" wrapText="1"/>
    </xf>
    <xf numFmtId="176" fontId="4" fillId="3" borderId="28" xfId="0" applyNumberFormat="1" applyFont="1" applyFill="1" applyBorder="1" applyAlignment="1">
      <alignment horizontal="center" vertical="center" wrapText="1"/>
    </xf>
    <xf numFmtId="0" fontId="5" fillId="0" borderId="7" xfId="0" applyFont="1" applyBorder="1"/>
    <xf numFmtId="0" fontId="5" fillId="0" borderId="9" xfId="0" applyFont="1" applyBorder="1"/>
    <xf numFmtId="0" fontId="10" fillId="0" borderId="7" xfId="0" applyFont="1" applyBorder="1"/>
    <xf numFmtId="0" fontId="10" fillId="0" borderId="9" xfId="0" applyFont="1" applyBorder="1"/>
    <xf numFmtId="0" fontId="10" fillId="0" borderId="12" xfId="0" applyFont="1" applyBorder="1"/>
    <xf numFmtId="0" fontId="10" fillId="0" borderId="13" xfId="0" applyFont="1" applyBorder="1"/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/>
    </xf>
    <xf numFmtId="0" fontId="5" fillId="0" borderId="31" xfId="0" applyFont="1" applyBorder="1"/>
    <xf numFmtId="0" fontId="5" fillId="0" borderId="16" xfId="0" applyFont="1" applyBorder="1"/>
    <xf numFmtId="0" fontId="10" fillId="0" borderId="31" xfId="0" applyFont="1" applyBorder="1"/>
    <xf numFmtId="0" fontId="10" fillId="0" borderId="16" xfId="0" applyFont="1" applyBorder="1"/>
    <xf numFmtId="0" fontId="10" fillId="0" borderId="32" xfId="0" applyFont="1" applyBorder="1"/>
    <xf numFmtId="0" fontId="10" fillId="0" borderId="24" xfId="0" applyFont="1" applyBorder="1"/>
    <xf numFmtId="0" fontId="10" fillId="5" borderId="0" xfId="0" applyFont="1" applyFill="1"/>
    <xf numFmtId="0" fontId="10" fillId="6" borderId="33" xfId="0" applyFont="1" applyFill="1" applyBorder="1"/>
    <xf numFmtId="0" fontId="10" fillId="7" borderId="34" xfId="0" applyFont="1" applyFill="1" applyBorder="1"/>
    <xf numFmtId="0" fontId="10" fillId="6" borderId="34" xfId="0" applyFont="1" applyFill="1" applyBorder="1"/>
    <xf numFmtId="0" fontId="10" fillId="6" borderId="35" xfId="0" applyFont="1" applyFill="1" applyBorder="1"/>
    <xf numFmtId="0" fontId="10" fillId="7" borderId="0" xfId="0" applyFont="1" applyFill="1" applyBorder="1"/>
    <xf numFmtId="0" fontId="10" fillId="6" borderId="0" xfId="0" applyFont="1" applyFill="1" applyBorder="1"/>
    <xf numFmtId="0" fontId="11" fillId="6" borderId="35" xfId="0" applyFont="1" applyFill="1" applyBorder="1" applyAlignment="1">
      <alignment horizontal="center" vertical="center"/>
    </xf>
    <xf numFmtId="177" fontId="12" fillId="6" borderId="35" xfId="0" applyNumberFormat="1" applyFont="1" applyFill="1" applyBorder="1" applyAlignment="1">
      <alignment horizontal="center" vertical="center"/>
    </xf>
    <xf numFmtId="178" fontId="13" fillId="6" borderId="35" xfId="0" applyNumberFormat="1" applyFont="1" applyFill="1" applyBorder="1" applyAlignment="1">
      <alignment horizontal="center" vertical="center"/>
    </xf>
    <xf numFmtId="0" fontId="10" fillId="6" borderId="36" xfId="0" applyFont="1" applyFill="1" applyBorder="1"/>
    <xf numFmtId="0" fontId="10" fillId="7" borderId="37" xfId="0" applyFont="1" applyFill="1" applyBorder="1"/>
    <xf numFmtId="0" fontId="10" fillId="6" borderId="37" xfId="0" applyFont="1" applyFill="1" applyBorder="1"/>
    <xf numFmtId="0" fontId="10" fillId="6" borderId="38" xfId="0" applyFont="1" applyFill="1" applyBorder="1"/>
    <xf numFmtId="0" fontId="10" fillId="6" borderId="39" xfId="0" applyFont="1" applyFill="1" applyBorder="1"/>
    <xf numFmtId="0" fontId="10" fillId="6" borderId="40" xfId="0" applyFont="1" applyFill="1" applyBorder="1"/>
    <xf numFmtId="0" fontId="14" fillId="5" borderId="0" xfId="0" applyFont="1" applyFill="1"/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</cellStyles>
  <dxfs count="3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Medium9"/>
  <colors>
    <mruColors>
      <color rgb="0071919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3-&#24180;&#24230;&#24037;&#20316;&#24635;&#32467;&#34920;'!A1"/><Relationship Id="rId2" Type="http://schemas.openxmlformats.org/officeDocument/2006/relationships/hyperlink" Target="#'2-&#26376;&#24230;&#24037;&#20316;&#24635;&#32467;&#34920;'!A1"/><Relationship Id="rId1" Type="http://schemas.openxmlformats.org/officeDocument/2006/relationships/hyperlink" Target="#'1-&#26376;&#24230;&#24037;&#20316;&#35745;&#21010;&#34920;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66675</xdr:colOff>
      <xdr:row>1</xdr:row>
      <xdr:rowOff>361950</xdr:rowOff>
    </xdr:from>
    <xdr:to>
      <xdr:col>10</xdr:col>
      <xdr:colOff>628650</xdr:colOff>
      <xdr:row>4</xdr:row>
      <xdr:rowOff>9525</xdr:rowOff>
    </xdr:to>
    <xdr:sp>
      <xdr:nvSpPr>
        <xdr:cNvPr id="2" name="TextBox 1"/>
        <xdr:cNvSpPr txBox="1"/>
      </xdr:nvSpPr>
      <xdr:spPr>
        <a:xfrm>
          <a:off x="3495675" y="361950"/>
          <a:ext cx="5362575" cy="876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2400" b="1">
              <a:solidFill>
                <a:srgbClr val="66999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工作计划总结管理系统</a:t>
          </a:r>
          <a:endParaRPr lang="en-US" altLang="zh-CN" sz="2400" b="1">
            <a:solidFill>
              <a:srgbClr val="669999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ctr"/>
          <a:r>
            <a:rPr lang="en-US" altLang="zh-CN" sz="1050" b="0" i="0" u="none" strike="noStrike">
              <a:solidFill>
                <a:srgbClr val="669999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Work plan summary management </a:t>
          </a:r>
          <a:endParaRPr lang="en-US" altLang="zh-CN" sz="1050" b="0" i="0" u="none" strike="noStrike">
            <a:solidFill>
              <a:srgbClr val="669999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  <xdr:twoCellAnchor>
    <xdr:from>
      <xdr:col>5</xdr:col>
      <xdr:colOff>38100</xdr:colOff>
      <xdr:row>5</xdr:row>
      <xdr:rowOff>304800</xdr:rowOff>
    </xdr:from>
    <xdr:to>
      <xdr:col>8</xdr:col>
      <xdr:colOff>666750</xdr:colOff>
      <xdr:row>7</xdr:row>
      <xdr:rowOff>38100</xdr:rowOff>
    </xdr:to>
    <xdr:sp>
      <xdr:nvSpPr>
        <xdr:cNvPr id="3" name="圆角矩形 2">
          <a:hlinkClick xmlns:r="http://schemas.openxmlformats.org/officeDocument/2006/relationships" r:id="rId1"/>
        </xdr:cNvPr>
        <xdr:cNvSpPr/>
      </xdr:nvSpPr>
      <xdr:spPr>
        <a:xfrm>
          <a:off x="4838700" y="1943100"/>
          <a:ext cx="2686050" cy="552450"/>
        </a:xfrm>
        <a:prstGeom prst="roundRect">
          <a:avLst/>
        </a:prstGeom>
        <a:solidFill>
          <a:srgbClr val="669999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月度工作计划表</a:t>
          </a:r>
          <a:endParaRPr lang="zh-CN" altLang="en-US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5</xdr:col>
      <xdr:colOff>38100</xdr:colOff>
      <xdr:row>7</xdr:row>
      <xdr:rowOff>314325</xdr:rowOff>
    </xdr:from>
    <xdr:to>
      <xdr:col>8</xdr:col>
      <xdr:colOff>666750</xdr:colOff>
      <xdr:row>9</xdr:row>
      <xdr:rowOff>47625</xdr:rowOff>
    </xdr:to>
    <xdr:sp>
      <xdr:nvSpPr>
        <xdr:cNvPr id="4" name="圆角矩形 3">
          <a:hlinkClick xmlns:r="http://schemas.openxmlformats.org/officeDocument/2006/relationships" r:id="rId2"/>
        </xdr:cNvPr>
        <xdr:cNvSpPr/>
      </xdr:nvSpPr>
      <xdr:spPr>
        <a:xfrm>
          <a:off x="4838700" y="2771775"/>
          <a:ext cx="2686050" cy="552450"/>
        </a:xfrm>
        <a:prstGeom prst="roundRect">
          <a:avLst/>
        </a:prstGeom>
        <a:solidFill>
          <a:srgbClr val="669999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月度工作总结表</a:t>
          </a:r>
          <a:endParaRPr lang="zh-CN" altLang="en-US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5</xdr:col>
      <xdr:colOff>38100</xdr:colOff>
      <xdr:row>9</xdr:row>
      <xdr:rowOff>323850</xdr:rowOff>
    </xdr:from>
    <xdr:to>
      <xdr:col>8</xdr:col>
      <xdr:colOff>666750</xdr:colOff>
      <xdr:row>11</xdr:row>
      <xdr:rowOff>57150</xdr:rowOff>
    </xdr:to>
    <xdr:sp>
      <xdr:nvSpPr>
        <xdr:cNvPr id="5" name="圆角矩形 4">
          <a:hlinkClick xmlns:r="http://schemas.openxmlformats.org/officeDocument/2006/relationships" r:id="rId3"/>
        </xdr:cNvPr>
        <xdr:cNvSpPr/>
      </xdr:nvSpPr>
      <xdr:spPr>
        <a:xfrm>
          <a:off x="4838700" y="3600450"/>
          <a:ext cx="2686050" cy="552450"/>
        </a:xfrm>
        <a:prstGeom prst="roundRect">
          <a:avLst/>
        </a:prstGeom>
        <a:solidFill>
          <a:srgbClr val="669999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年度工作总结表</a:t>
          </a:r>
          <a:endParaRPr lang="zh-CN" altLang="en-US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828675</xdr:colOff>
      <xdr:row>2</xdr:row>
      <xdr:rowOff>9525</xdr:rowOff>
    </xdr:from>
    <xdr:to>
      <xdr:col>0</xdr:col>
      <xdr:colOff>1871663</xdr:colOff>
      <xdr:row>4</xdr:row>
      <xdr:rowOff>282575</xdr:rowOff>
    </xdr:to>
    <xdr:grpSp>
      <xdr:nvGrpSpPr>
        <xdr:cNvPr id="6" name="组合 5"/>
        <xdr:cNvGrpSpPr/>
      </xdr:nvGrpSpPr>
      <xdr:grpSpPr>
        <a:xfrm>
          <a:off x="828675" y="419100"/>
          <a:ext cx="1042670" cy="1092200"/>
          <a:chOff x="3826365" y="436561"/>
          <a:chExt cx="1042988" cy="1092200"/>
        </a:xfrm>
      </xdr:grpSpPr>
      <xdr:sp>
        <xdr:nvSpPr>
          <xdr:cNvPr id="7" name="Freeform 213"/>
          <xdr:cNvSpPr/>
        </xdr:nvSpPr>
        <xdr:spPr>
          <a:xfrm>
            <a:off x="3826365" y="776286"/>
            <a:ext cx="1042988" cy="752475"/>
          </a:xfrm>
          <a:custGeom>
            <a:avLst/>
            <a:gdLst>
              <a:gd name="T0" fmla="*/ 0 w 623"/>
              <a:gd name="T1" fmla="*/ 387 h 450"/>
              <a:gd name="T2" fmla="*/ 65 w 623"/>
              <a:gd name="T3" fmla="*/ 450 h 450"/>
              <a:gd name="T4" fmla="*/ 558 w 623"/>
              <a:gd name="T5" fmla="*/ 450 h 450"/>
              <a:gd name="T6" fmla="*/ 623 w 623"/>
              <a:gd name="T7" fmla="*/ 387 h 450"/>
              <a:gd name="T8" fmla="*/ 623 w 623"/>
              <a:gd name="T9" fmla="*/ 0 h 450"/>
              <a:gd name="T10" fmla="*/ 0 w 623"/>
              <a:gd name="T11" fmla="*/ 0 h 450"/>
              <a:gd name="T12" fmla="*/ 0 w 623"/>
              <a:gd name="T13" fmla="*/ 387 h 4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23" h="450">
                <a:moveTo>
                  <a:pt x="0" y="387"/>
                </a:moveTo>
                <a:cubicBezTo>
                  <a:pt x="0" y="431"/>
                  <a:pt x="29" y="450"/>
                  <a:pt x="65" y="450"/>
                </a:cubicBezTo>
                <a:cubicBezTo>
                  <a:pt x="558" y="450"/>
                  <a:pt x="558" y="450"/>
                  <a:pt x="558" y="450"/>
                </a:cubicBezTo>
                <a:cubicBezTo>
                  <a:pt x="594" y="450"/>
                  <a:pt x="623" y="431"/>
                  <a:pt x="623" y="387"/>
                </a:cubicBezTo>
                <a:cubicBezTo>
                  <a:pt x="623" y="0"/>
                  <a:pt x="623" y="0"/>
                  <a:pt x="623" y="0"/>
                </a:cubicBezTo>
                <a:cubicBezTo>
                  <a:pt x="0" y="0"/>
                  <a:pt x="0" y="0"/>
                  <a:pt x="0" y="0"/>
                </a:cubicBezTo>
                <a:lnTo>
                  <a:pt x="0" y="387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8" name="Freeform 214"/>
          <xdr:cNvSpPr/>
        </xdr:nvSpPr>
        <xdr:spPr>
          <a:xfrm>
            <a:off x="3826365" y="568323"/>
            <a:ext cx="1042988" cy="244475"/>
          </a:xfrm>
          <a:custGeom>
            <a:avLst/>
            <a:gdLst>
              <a:gd name="T0" fmla="*/ 558 w 623"/>
              <a:gd name="T1" fmla="*/ 0 h 146"/>
              <a:gd name="T2" fmla="*/ 65 w 623"/>
              <a:gd name="T3" fmla="*/ 0 h 146"/>
              <a:gd name="T4" fmla="*/ 0 w 623"/>
              <a:gd name="T5" fmla="*/ 79 h 146"/>
              <a:gd name="T6" fmla="*/ 0 w 623"/>
              <a:gd name="T7" fmla="*/ 146 h 146"/>
              <a:gd name="T8" fmla="*/ 623 w 623"/>
              <a:gd name="T9" fmla="*/ 146 h 146"/>
              <a:gd name="T10" fmla="*/ 623 w 623"/>
              <a:gd name="T11" fmla="*/ 79 h 146"/>
              <a:gd name="T12" fmla="*/ 558 w 623"/>
              <a:gd name="T13" fmla="*/ 0 h 1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23" h="146">
                <a:moveTo>
                  <a:pt x="558" y="0"/>
                </a:moveTo>
                <a:cubicBezTo>
                  <a:pt x="65" y="0"/>
                  <a:pt x="65" y="0"/>
                  <a:pt x="65" y="0"/>
                </a:cubicBezTo>
                <a:cubicBezTo>
                  <a:pt x="29" y="0"/>
                  <a:pt x="0" y="35"/>
                  <a:pt x="0" y="79"/>
                </a:cubicBezTo>
                <a:cubicBezTo>
                  <a:pt x="0" y="146"/>
                  <a:pt x="0" y="146"/>
                  <a:pt x="0" y="146"/>
                </a:cubicBezTo>
                <a:cubicBezTo>
                  <a:pt x="623" y="146"/>
                  <a:pt x="623" y="146"/>
                  <a:pt x="623" y="146"/>
                </a:cubicBezTo>
                <a:cubicBezTo>
                  <a:pt x="623" y="79"/>
                  <a:pt x="623" y="79"/>
                  <a:pt x="623" y="79"/>
                </a:cubicBezTo>
                <a:cubicBezTo>
                  <a:pt x="623" y="35"/>
                  <a:pt x="594" y="0"/>
                  <a:pt x="558" y="0"/>
                </a:cubicBezTo>
                <a:close/>
              </a:path>
            </a:pathLst>
          </a:custGeom>
          <a:solidFill>
            <a:srgbClr val="00909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9" name="Rectangle 215"/>
          <xdr:cNvSpPr>
            <a:spLocks noChangeArrowheads="1"/>
          </xdr:cNvSpPr>
        </xdr:nvSpPr>
        <xdr:spPr>
          <a:xfrm>
            <a:off x="3918440" y="841373"/>
            <a:ext cx="106363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0" name="Rectangle 216"/>
          <xdr:cNvSpPr>
            <a:spLocks noChangeArrowheads="1"/>
          </xdr:cNvSpPr>
        </xdr:nvSpPr>
        <xdr:spPr>
          <a:xfrm>
            <a:off x="4047027" y="841373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1" name="Rectangle 217"/>
          <xdr:cNvSpPr>
            <a:spLocks noChangeArrowheads="1"/>
          </xdr:cNvSpPr>
        </xdr:nvSpPr>
        <xdr:spPr>
          <a:xfrm>
            <a:off x="4174027" y="841373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2" name="Rectangle 218"/>
          <xdr:cNvSpPr>
            <a:spLocks noChangeArrowheads="1"/>
          </xdr:cNvSpPr>
        </xdr:nvSpPr>
        <xdr:spPr>
          <a:xfrm>
            <a:off x="4301027" y="841373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3" name="Rectangle 219"/>
          <xdr:cNvSpPr>
            <a:spLocks noChangeArrowheads="1"/>
          </xdr:cNvSpPr>
        </xdr:nvSpPr>
        <xdr:spPr>
          <a:xfrm>
            <a:off x="4426440" y="841373"/>
            <a:ext cx="106363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4" name="Rectangle 220"/>
          <xdr:cNvSpPr>
            <a:spLocks noChangeArrowheads="1"/>
          </xdr:cNvSpPr>
        </xdr:nvSpPr>
        <xdr:spPr>
          <a:xfrm>
            <a:off x="4553440" y="841373"/>
            <a:ext cx="106363" cy="104775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5" name="Rectangle 221"/>
          <xdr:cNvSpPr>
            <a:spLocks noChangeArrowheads="1"/>
          </xdr:cNvSpPr>
        </xdr:nvSpPr>
        <xdr:spPr>
          <a:xfrm>
            <a:off x="4680440" y="841373"/>
            <a:ext cx="106363" cy="104775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6" name="Rectangle 222"/>
          <xdr:cNvSpPr>
            <a:spLocks noChangeArrowheads="1"/>
          </xdr:cNvSpPr>
        </xdr:nvSpPr>
        <xdr:spPr>
          <a:xfrm>
            <a:off x="3918440" y="971548"/>
            <a:ext cx="106363" cy="106363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7" name="Rectangle 223"/>
          <xdr:cNvSpPr>
            <a:spLocks noChangeArrowheads="1"/>
          </xdr:cNvSpPr>
        </xdr:nvSpPr>
        <xdr:spPr>
          <a:xfrm>
            <a:off x="4047027" y="971548"/>
            <a:ext cx="104775" cy="106363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8" name="Rectangle 224"/>
          <xdr:cNvSpPr>
            <a:spLocks noChangeArrowheads="1"/>
          </xdr:cNvSpPr>
        </xdr:nvSpPr>
        <xdr:spPr>
          <a:xfrm>
            <a:off x="4174027" y="971548"/>
            <a:ext cx="104775" cy="106363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19" name="Rectangle 225"/>
          <xdr:cNvSpPr>
            <a:spLocks noChangeArrowheads="1"/>
          </xdr:cNvSpPr>
        </xdr:nvSpPr>
        <xdr:spPr>
          <a:xfrm>
            <a:off x="4301027" y="971548"/>
            <a:ext cx="104775" cy="106363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0" name="Rectangle 226"/>
          <xdr:cNvSpPr>
            <a:spLocks noChangeArrowheads="1"/>
          </xdr:cNvSpPr>
        </xdr:nvSpPr>
        <xdr:spPr>
          <a:xfrm>
            <a:off x="4426440" y="971548"/>
            <a:ext cx="106363" cy="106363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1" name="Rectangle 227"/>
          <xdr:cNvSpPr>
            <a:spLocks noChangeArrowheads="1"/>
          </xdr:cNvSpPr>
        </xdr:nvSpPr>
        <xdr:spPr>
          <a:xfrm>
            <a:off x="4553440" y="971548"/>
            <a:ext cx="106363" cy="106363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2" name="Rectangle 228"/>
          <xdr:cNvSpPr>
            <a:spLocks noChangeArrowheads="1"/>
          </xdr:cNvSpPr>
        </xdr:nvSpPr>
        <xdr:spPr>
          <a:xfrm>
            <a:off x="4680440" y="971548"/>
            <a:ext cx="106363" cy="106363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3" name="Rectangle 229"/>
          <xdr:cNvSpPr>
            <a:spLocks noChangeArrowheads="1"/>
          </xdr:cNvSpPr>
        </xdr:nvSpPr>
        <xdr:spPr>
          <a:xfrm>
            <a:off x="3918440" y="1100136"/>
            <a:ext cx="106363" cy="107950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4" name="Rectangle 230"/>
          <xdr:cNvSpPr>
            <a:spLocks noChangeArrowheads="1"/>
          </xdr:cNvSpPr>
        </xdr:nvSpPr>
        <xdr:spPr>
          <a:xfrm>
            <a:off x="4047027" y="1100136"/>
            <a:ext cx="104775" cy="107950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5" name="Rectangle 231"/>
          <xdr:cNvSpPr>
            <a:spLocks noChangeArrowheads="1"/>
          </xdr:cNvSpPr>
        </xdr:nvSpPr>
        <xdr:spPr>
          <a:xfrm>
            <a:off x="4174027" y="1100136"/>
            <a:ext cx="104775" cy="107950"/>
          </a:xfrm>
          <a:prstGeom prst="rect">
            <a:avLst/>
          </a:prstGeom>
          <a:solidFill>
            <a:srgbClr val="FF333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6" name="Rectangle 232"/>
          <xdr:cNvSpPr>
            <a:spLocks noChangeArrowheads="1"/>
          </xdr:cNvSpPr>
        </xdr:nvSpPr>
        <xdr:spPr>
          <a:xfrm>
            <a:off x="4301027" y="1100136"/>
            <a:ext cx="104775" cy="107950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7" name="Rectangle 233"/>
          <xdr:cNvSpPr>
            <a:spLocks noChangeArrowheads="1"/>
          </xdr:cNvSpPr>
        </xdr:nvSpPr>
        <xdr:spPr>
          <a:xfrm>
            <a:off x="4426440" y="1100136"/>
            <a:ext cx="106363" cy="107950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8" name="Rectangle 234"/>
          <xdr:cNvSpPr>
            <a:spLocks noChangeArrowheads="1"/>
          </xdr:cNvSpPr>
        </xdr:nvSpPr>
        <xdr:spPr>
          <a:xfrm>
            <a:off x="4553440" y="1100136"/>
            <a:ext cx="106363" cy="107950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29" name="Rectangle 235"/>
          <xdr:cNvSpPr>
            <a:spLocks noChangeArrowheads="1"/>
          </xdr:cNvSpPr>
        </xdr:nvSpPr>
        <xdr:spPr>
          <a:xfrm>
            <a:off x="4680440" y="1100136"/>
            <a:ext cx="106363" cy="107950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0" name="Rectangle 236"/>
          <xdr:cNvSpPr>
            <a:spLocks noChangeArrowheads="1"/>
          </xdr:cNvSpPr>
        </xdr:nvSpPr>
        <xdr:spPr>
          <a:xfrm>
            <a:off x="3918440" y="1231898"/>
            <a:ext cx="106363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1" name="Rectangle 237"/>
          <xdr:cNvSpPr>
            <a:spLocks noChangeArrowheads="1"/>
          </xdr:cNvSpPr>
        </xdr:nvSpPr>
        <xdr:spPr>
          <a:xfrm>
            <a:off x="4047027" y="1231898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2" name="Rectangle 238"/>
          <xdr:cNvSpPr>
            <a:spLocks noChangeArrowheads="1"/>
          </xdr:cNvSpPr>
        </xdr:nvSpPr>
        <xdr:spPr>
          <a:xfrm>
            <a:off x="4174027" y="1231898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3" name="Rectangle 239"/>
          <xdr:cNvSpPr>
            <a:spLocks noChangeArrowheads="1"/>
          </xdr:cNvSpPr>
        </xdr:nvSpPr>
        <xdr:spPr>
          <a:xfrm>
            <a:off x="4301027" y="1231898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4" name="Rectangle 240"/>
          <xdr:cNvSpPr>
            <a:spLocks noChangeArrowheads="1"/>
          </xdr:cNvSpPr>
        </xdr:nvSpPr>
        <xdr:spPr>
          <a:xfrm>
            <a:off x="4426440" y="1231898"/>
            <a:ext cx="106363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5" name="Rectangle 241"/>
          <xdr:cNvSpPr>
            <a:spLocks noChangeArrowheads="1"/>
          </xdr:cNvSpPr>
        </xdr:nvSpPr>
        <xdr:spPr>
          <a:xfrm>
            <a:off x="4553440" y="1231898"/>
            <a:ext cx="106363" cy="104775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6" name="Rectangle 242"/>
          <xdr:cNvSpPr>
            <a:spLocks noChangeArrowheads="1"/>
          </xdr:cNvSpPr>
        </xdr:nvSpPr>
        <xdr:spPr>
          <a:xfrm>
            <a:off x="4680440" y="1231898"/>
            <a:ext cx="106363" cy="104775"/>
          </a:xfrm>
          <a:prstGeom prst="rect">
            <a:avLst/>
          </a:prstGeom>
          <a:solidFill>
            <a:srgbClr val="13ADB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7" name="Rectangle 243"/>
          <xdr:cNvSpPr>
            <a:spLocks noChangeArrowheads="1"/>
          </xdr:cNvSpPr>
        </xdr:nvSpPr>
        <xdr:spPr>
          <a:xfrm>
            <a:off x="3918440" y="1362073"/>
            <a:ext cx="106363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8" name="Rectangle 244"/>
          <xdr:cNvSpPr>
            <a:spLocks noChangeArrowheads="1"/>
          </xdr:cNvSpPr>
        </xdr:nvSpPr>
        <xdr:spPr>
          <a:xfrm>
            <a:off x="4047027" y="1362073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39" name="Rectangle 245"/>
          <xdr:cNvSpPr>
            <a:spLocks noChangeArrowheads="1"/>
          </xdr:cNvSpPr>
        </xdr:nvSpPr>
        <xdr:spPr>
          <a:xfrm>
            <a:off x="4174027" y="1362073"/>
            <a:ext cx="104775" cy="104775"/>
          </a:xfrm>
          <a:prstGeom prst="rect">
            <a:avLst/>
          </a:prstGeom>
          <a:solidFill>
            <a:srgbClr val="929EB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0" name="Oval 246"/>
          <xdr:cNvSpPr>
            <a:spLocks noChangeArrowheads="1"/>
          </xdr:cNvSpPr>
        </xdr:nvSpPr>
        <xdr:spPr>
          <a:xfrm>
            <a:off x="3969240" y="528636"/>
            <a:ext cx="161925" cy="160338"/>
          </a:xfrm>
          <a:prstGeom prst="ellipse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1" name="Oval 247"/>
          <xdr:cNvSpPr>
            <a:spLocks noChangeArrowheads="1"/>
          </xdr:cNvSpPr>
        </xdr:nvSpPr>
        <xdr:spPr>
          <a:xfrm>
            <a:off x="4566140" y="528636"/>
            <a:ext cx="158750" cy="160338"/>
          </a:xfrm>
          <a:prstGeom prst="ellipse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2" name="Freeform 248"/>
          <xdr:cNvSpPr/>
        </xdr:nvSpPr>
        <xdr:spPr>
          <a:xfrm>
            <a:off x="4054965" y="438148"/>
            <a:ext cx="76200" cy="233363"/>
          </a:xfrm>
          <a:custGeom>
            <a:avLst/>
            <a:gdLst>
              <a:gd name="T0" fmla="*/ 0 w 46"/>
              <a:gd name="T1" fmla="*/ 0 h 140"/>
              <a:gd name="T2" fmla="*/ 0 w 46"/>
              <a:gd name="T3" fmla="*/ 140 h 140"/>
              <a:gd name="T4" fmla="*/ 46 w 46"/>
              <a:gd name="T5" fmla="*/ 93 h 140"/>
              <a:gd name="T6" fmla="*/ 46 w 46"/>
              <a:gd name="T7" fmla="*/ 47 h 140"/>
              <a:gd name="T8" fmla="*/ 0 w 46"/>
              <a:gd name="T9" fmla="*/ 0 h 1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6" h="140">
                <a:moveTo>
                  <a:pt x="0" y="0"/>
                </a:moveTo>
                <a:cubicBezTo>
                  <a:pt x="0" y="140"/>
                  <a:pt x="0" y="140"/>
                  <a:pt x="0" y="140"/>
                </a:cubicBezTo>
                <a:cubicBezTo>
                  <a:pt x="26" y="139"/>
                  <a:pt x="46" y="118"/>
                  <a:pt x="46" y="93"/>
                </a:cubicBezTo>
                <a:cubicBezTo>
                  <a:pt x="46" y="47"/>
                  <a:pt x="46" y="47"/>
                  <a:pt x="46" y="47"/>
                </a:cubicBezTo>
                <a:cubicBezTo>
                  <a:pt x="46" y="21"/>
                  <a:pt x="26" y="1"/>
                  <a:pt x="0" y="0"/>
                </a:cubicBezTo>
                <a:close/>
              </a:path>
            </a:pathLst>
          </a:custGeom>
          <a:solidFill>
            <a:srgbClr val="CBCBCD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3" name="Freeform 249"/>
          <xdr:cNvSpPr/>
        </xdr:nvSpPr>
        <xdr:spPr>
          <a:xfrm>
            <a:off x="3972415" y="436561"/>
            <a:ext cx="82550" cy="234950"/>
          </a:xfrm>
          <a:custGeom>
            <a:avLst/>
            <a:gdLst>
              <a:gd name="T0" fmla="*/ 47 w 49"/>
              <a:gd name="T1" fmla="*/ 0 h 141"/>
              <a:gd name="T2" fmla="*/ 0 w 49"/>
              <a:gd name="T3" fmla="*/ 48 h 141"/>
              <a:gd name="T4" fmla="*/ 0 w 49"/>
              <a:gd name="T5" fmla="*/ 94 h 141"/>
              <a:gd name="T6" fmla="*/ 47 w 49"/>
              <a:gd name="T7" fmla="*/ 141 h 141"/>
              <a:gd name="T8" fmla="*/ 49 w 49"/>
              <a:gd name="T9" fmla="*/ 141 h 141"/>
              <a:gd name="T10" fmla="*/ 49 w 49"/>
              <a:gd name="T11" fmla="*/ 1 h 141"/>
              <a:gd name="T12" fmla="*/ 47 w 49"/>
              <a:gd name="T13" fmla="*/ 0 h 1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49" h="141">
                <a:moveTo>
                  <a:pt x="47" y="0"/>
                </a:moveTo>
                <a:cubicBezTo>
                  <a:pt x="21" y="0"/>
                  <a:pt x="0" y="22"/>
                  <a:pt x="0" y="48"/>
                </a:cubicBezTo>
                <a:cubicBezTo>
                  <a:pt x="0" y="94"/>
                  <a:pt x="0" y="94"/>
                  <a:pt x="0" y="94"/>
                </a:cubicBezTo>
                <a:cubicBezTo>
                  <a:pt x="0" y="120"/>
                  <a:pt x="21" y="141"/>
                  <a:pt x="47" y="141"/>
                </a:cubicBezTo>
                <a:cubicBezTo>
                  <a:pt x="48" y="141"/>
                  <a:pt x="49" y="141"/>
                  <a:pt x="49" y="141"/>
                </a:cubicBezTo>
                <a:cubicBezTo>
                  <a:pt x="49" y="1"/>
                  <a:pt x="49" y="1"/>
                  <a:pt x="49" y="1"/>
                </a:cubicBezTo>
                <a:cubicBezTo>
                  <a:pt x="49" y="1"/>
                  <a:pt x="48" y="0"/>
                  <a:pt x="47" y="0"/>
                </a:cubicBezTo>
                <a:close/>
              </a:path>
            </a:pathLst>
          </a:custGeom>
          <a:solidFill>
            <a:srgbClr val="E3E3E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4" name="Freeform 250"/>
          <xdr:cNvSpPr/>
        </xdr:nvSpPr>
        <xdr:spPr>
          <a:xfrm>
            <a:off x="4648690" y="438148"/>
            <a:ext cx="76200" cy="233363"/>
          </a:xfrm>
          <a:custGeom>
            <a:avLst/>
            <a:gdLst>
              <a:gd name="T0" fmla="*/ 0 w 45"/>
              <a:gd name="T1" fmla="*/ 0 h 140"/>
              <a:gd name="T2" fmla="*/ 0 w 45"/>
              <a:gd name="T3" fmla="*/ 140 h 140"/>
              <a:gd name="T4" fmla="*/ 45 w 45"/>
              <a:gd name="T5" fmla="*/ 93 h 140"/>
              <a:gd name="T6" fmla="*/ 45 w 45"/>
              <a:gd name="T7" fmla="*/ 47 h 140"/>
              <a:gd name="T8" fmla="*/ 0 w 45"/>
              <a:gd name="T9" fmla="*/ 0 h 1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" h="140">
                <a:moveTo>
                  <a:pt x="0" y="0"/>
                </a:moveTo>
                <a:cubicBezTo>
                  <a:pt x="0" y="140"/>
                  <a:pt x="0" y="140"/>
                  <a:pt x="0" y="140"/>
                </a:cubicBezTo>
                <a:cubicBezTo>
                  <a:pt x="25" y="139"/>
                  <a:pt x="45" y="118"/>
                  <a:pt x="45" y="93"/>
                </a:cubicBezTo>
                <a:cubicBezTo>
                  <a:pt x="45" y="47"/>
                  <a:pt x="45" y="47"/>
                  <a:pt x="45" y="47"/>
                </a:cubicBezTo>
                <a:cubicBezTo>
                  <a:pt x="45" y="21"/>
                  <a:pt x="25" y="1"/>
                  <a:pt x="0" y="0"/>
                </a:cubicBezTo>
                <a:close/>
              </a:path>
            </a:pathLst>
          </a:custGeom>
          <a:solidFill>
            <a:srgbClr val="CBCBCD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>
        <xdr:nvSpPr>
          <xdr:cNvPr id="45" name="Freeform 251"/>
          <xdr:cNvSpPr/>
        </xdr:nvSpPr>
        <xdr:spPr>
          <a:xfrm>
            <a:off x="4566140" y="436561"/>
            <a:ext cx="82550" cy="234950"/>
          </a:xfrm>
          <a:custGeom>
            <a:avLst/>
            <a:gdLst>
              <a:gd name="T0" fmla="*/ 47 w 50"/>
              <a:gd name="T1" fmla="*/ 0 h 141"/>
              <a:gd name="T2" fmla="*/ 0 w 50"/>
              <a:gd name="T3" fmla="*/ 48 h 141"/>
              <a:gd name="T4" fmla="*/ 0 w 50"/>
              <a:gd name="T5" fmla="*/ 94 h 141"/>
              <a:gd name="T6" fmla="*/ 47 w 50"/>
              <a:gd name="T7" fmla="*/ 141 h 141"/>
              <a:gd name="T8" fmla="*/ 50 w 50"/>
              <a:gd name="T9" fmla="*/ 141 h 141"/>
              <a:gd name="T10" fmla="*/ 50 w 50"/>
              <a:gd name="T11" fmla="*/ 1 h 141"/>
              <a:gd name="T12" fmla="*/ 47 w 50"/>
              <a:gd name="T13" fmla="*/ 0 h 1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0" h="141">
                <a:moveTo>
                  <a:pt x="47" y="0"/>
                </a:moveTo>
                <a:cubicBezTo>
                  <a:pt x="21" y="0"/>
                  <a:pt x="0" y="22"/>
                  <a:pt x="0" y="48"/>
                </a:cubicBezTo>
                <a:cubicBezTo>
                  <a:pt x="0" y="94"/>
                  <a:pt x="0" y="94"/>
                  <a:pt x="0" y="94"/>
                </a:cubicBezTo>
                <a:cubicBezTo>
                  <a:pt x="0" y="120"/>
                  <a:pt x="21" y="141"/>
                  <a:pt x="47" y="141"/>
                </a:cubicBezTo>
                <a:cubicBezTo>
                  <a:pt x="48" y="141"/>
                  <a:pt x="49" y="141"/>
                  <a:pt x="50" y="141"/>
                </a:cubicBezTo>
                <a:cubicBezTo>
                  <a:pt x="50" y="1"/>
                  <a:pt x="50" y="1"/>
                  <a:pt x="50" y="1"/>
                </a:cubicBezTo>
                <a:cubicBezTo>
                  <a:pt x="49" y="1"/>
                  <a:pt x="48" y="0"/>
                  <a:pt x="47" y="0"/>
                </a:cubicBezTo>
                <a:close/>
              </a:path>
            </a:pathLst>
          </a:custGeom>
          <a:solidFill>
            <a:srgbClr val="E3E3E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164681</xdr:colOff>
      <xdr:row>0</xdr:row>
      <xdr:rowOff>552450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9840" cy="552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1</xdr:col>
      <xdr:colOff>774281</xdr:colOff>
      <xdr:row>0</xdr:row>
      <xdr:rowOff>590550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259840" cy="5524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2</xdr:col>
      <xdr:colOff>183731</xdr:colOff>
      <xdr:row>0</xdr:row>
      <xdr:rowOff>609600</xdr:rowOff>
    </xdr:to>
    <xdr:pic>
      <xdr:nvPicPr>
        <xdr:cNvPr id="3" name="图片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1259840" cy="552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11-EXCEL\1-&#22771;\&#22859;&#26007;&#30340;&#23567;&#38738;&#24180;\&#24050;&#20256;\20190809\&#26576;&#26576;&#20844;&#21496;&#20135;&#21697;&#25253;&#20215;&#21333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报价单"/>
      <sheetName val="产品资料库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XFB22"/>
  <sheetViews>
    <sheetView tabSelected="1" topLeftCell="A2" workbookViewId="0">
      <selection activeCell="E17" sqref="E17"/>
    </sheetView>
  </sheetViews>
  <sheetFormatPr defaultColWidth="9" defaultRowHeight="16.5"/>
  <cols>
    <col min="1" max="1" width="35" style="70" customWidth="1"/>
    <col min="2" max="2" width="1" style="70" customWidth="1"/>
    <col min="3" max="16384" width="9" style="70"/>
  </cols>
  <sheetData>
    <row r="1" ht="60.75" hidden="1" customHeight="1"/>
    <row r="2" ht="32.25" customHeight="1" spans="1:12">
      <c r="A2" s="71"/>
      <c r="B2" s="72"/>
      <c r="C2" s="73"/>
      <c r="D2" s="73"/>
      <c r="E2" s="73"/>
      <c r="F2" s="73"/>
      <c r="G2" s="73"/>
      <c r="H2" s="73"/>
      <c r="I2" s="73"/>
      <c r="J2" s="73"/>
      <c r="K2" s="73"/>
      <c r="L2" s="83"/>
    </row>
    <row r="3" ht="32.25" customHeight="1" spans="1:12">
      <c r="A3" s="74"/>
      <c r="B3" s="75"/>
      <c r="C3" s="76"/>
      <c r="D3" s="76"/>
      <c r="E3" s="76"/>
      <c r="F3" s="76"/>
      <c r="G3" s="76"/>
      <c r="H3" s="76"/>
      <c r="I3" s="76"/>
      <c r="J3" s="76"/>
      <c r="K3" s="76"/>
      <c r="L3" s="84"/>
    </row>
    <row r="4" ht="32.25" customHeight="1" spans="1:12">
      <c r="A4" s="74"/>
      <c r="B4" s="75"/>
      <c r="C4" s="76"/>
      <c r="D4" s="76"/>
      <c r="E4" s="76"/>
      <c r="F4" s="76"/>
      <c r="G4" s="76"/>
      <c r="H4" s="76"/>
      <c r="I4" s="76"/>
      <c r="J4" s="76"/>
      <c r="K4" s="76"/>
      <c r="L4" s="84"/>
    </row>
    <row r="5" ht="32.25" customHeight="1" spans="1:12">
      <c r="A5" s="74"/>
      <c r="B5" s="75"/>
      <c r="C5" s="76"/>
      <c r="D5" s="76"/>
      <c r="E5" s="76"/>
      <c r="F5" s="76"/>
      <c r="G5" s="76"/>
      <c r="H5" s="76"/>
      <c r="I5" s="76"/>
      <c r="J5" s="76"/>
      <c r="K5" s="76"/>
      <c r="L5" s="84"/>
    </row>
    <row r="6" ht="32.25" customHeight="1" spans="1:12">
      <c r="A6" s="74"/>
      <c r="B6" s="75"/>
      <c r="C6" s="76"/>
      <c r="D6" s="76"/>
      <c r="E6" s="76"/>
      <c r="F6" s="76"/>
      <c r="G6" s="76"/>
      <c r="H6" s="76"/>
      <c r="I6" s="76"/>
      <c r="J6" s="76"/>
      <c r="K6" s="76"/>
      <c r="L6" s="84"/>
    </row>
    <row r="7" ht="32.25" customHeight="1" spans="1:12">
      <c r="A7" s="77" t="s">
        <v>0</v>
      </c>
      <c r="B7" s="75"/>
      <c r="C7" s="76"/>
      <c r="D7" s="76"/>
      <c r="E7" s="76"/>
      <c r="F7" s="76"/>
      <c r="G7" s="76"/>
      <c r="H7" s="76"/>
      <c r="I7" s="76"/>
      <c r="J7" s="76"/>
      <c r="K7" s="76"/>
      <c r="L7" s="84"/>
    </row>
    <row r="8" ht="32.25" customHeight="1" spans="1:16382">
      <c r="A8" s="74"/>
      <c r="B8" s="75"/>
      <c r="C8" s="76"/>
      <c r="D8" s="76"/>
      <c r="E8" s="76"/>
      <c r="F8" s="76"/>
      <c r="G8" s="76"/>
      <c r="H8" s="76"/>
      <c r="I8" s="76"/>
      <c r="J8" s="76"/>
      <c r="K8" s="76"/>
      <c r="L8" s="84"/>
      <c r="XFB8" s="86" t="s">
        <v>1</v>
      </c>
    </row>
    <row r="9" ht="32.25" customHeight="1" spans="1:12">
      <c r="A9" s="78">
        <f ca="1">TODAY()</f>
        <v>44254</v>
      </c>
      <c r="B9" s="75"/>
      <c r="C9" s="76"/>
      <c r="D9" s="76"/>
      <c r="E9" s="76"/>
      <c r="F9" s="76"/>
      <c r="G9" s="76"/>
      <c r="H9" s="76"/>
      <c r="I9" s="76"/>
      <c r="J9" s="76"/>
      <c r="K9" s="76"/>
      <c r="L9" s="84"/>
    </row>
    <row r="10" ht="32.25" customHeight="1" spans="1:12">
      <c r="A10" s="78"/>
      <c r="B10" s="75"/>
      <c r="C10" s="76"/>
      <c r="D10" s="76"/>
      <c r="E10" s="76"/>
      <c r="F10" s="76"/>
      <c r="G10" s="76"/>
      <c r="H10" s="76"/>
      <c r="I10" s="76"/>
      <c r="J10" s="76"/>
      <c r="K10" s="76"/>
      <c r="L10" s="84"/>
    </row>
    <row r="11" ht="32.25" customHeight="1" spans="1:12">
      <c r="A11" s="78"/>
      <c r="B11" s="75"/>
      <c r="C11" s="76"/>
      <c r="D11" s="76"/>
      <c r="E11" s="76"/>
      <c r="F11" s="76"/>
      <c r="G11" s="76"/>
      <c r="H11" s="76"/>
      <c r="I11" s="76"/>
      <c r="J11" s="76"/>
      <c r="K11" s="76"/>
      <c r="L11" s="84"/>
    </row>
    <row r="12" ht="32.25" customHeight="1" spans="1:12">
      <c r="A12" s="78"/>
      <c r="B12" s="75"/>
      <c r="C12" s="76"/>
      <c r="D12" s="76"/>
      <c r="E12" s="76"/>
      <c r="F12" s="76"/>
      <c r="G12" s="76"/>
      <c r="H12" s="76"/>
      <c r="I12" s="76"/>
      <c r="J12" s="76"/>
      <c r="K12" s="76"/>
      <c r="L12" s="84"/>
    </row>
    <row r="13" ht="32.25" customHeight="1" spans="1:12">
      <c r="A13" s="79">
        <f ca="1">TODAY()</f>
        <v>44254</v>
      </c>
      <c r="B13" s="75"/>
      <c r="C13" s="76"/>
      <c r="D13" s="76"/>
      <c r="E13" s="76"/>
      <c r="F13" s="76"/>
      <c r="G13" s="76"/>
      <c r="H13" s="76"/>
      <c r="I13" s="76"/>
      <c r="J13" s="76"/>
      <c r="K13" s="76"/>
      <c r="L13" s="84"/>
    </row>
    <row r="14" ht="32.25" customHeight="1" spans="1:12">
      <c r="A14" s="74"/>
      <c r="B14" s="75"/>
      <c r="C14" s="76"/>
      <c r="D14" s="76"/>
      <c r="E14" s="76"/>
      <c r="F14" s="76"/>
      <c r="G14" s="76"/>
      <c r="H14" s="76"/>
      <c r="I14" s="76"/>
      <c r="J14" s="76"/>
      <c r="K14" s="76"/>
      <c r="L14" s="84"/>
    </row>
    <row r="15" ht="32.25" customHeight="1" spans="1:12">
      <c r="A15" s="80"/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5"/>
    </row>
    <row r="16" ht="32.25" customHeight="1"/>
    <row r="17" ht="32.25" customHeight="1"/>
    <row r="18" ht="32.25" customHeight="1"/>
    <row r="19" ht="32.25" customHeight="1"/>
    <row r="20" ht="32.25" customHeight="1"/>
    <row r="21" ht="32.25" customHeight="1"/>
    <row r="22" ht="32.25" customHeight="1"/>
  </sheetData>
  <mergeCells count="1">
    <mergeCell ref="A9:A12"/>
  </mergeCell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EY33"/>
  <sheetViews>
    <sheetView showGridLines="0" workbookViewId="0">
      <selection activeCell="H9" sqref="H9"/>
    </sheetView>
  </sheetViews>
  <sheetFormatPr defaultColWidth="9" defaultRowHeight="13.5"/>
  <cols>
    <col min="1" max="1" width="4.625" customWidth="1"/>
    <col min="2" max="2" width="9.75" customWidth="1"/>
    <col min="3" max="3" width="20.75" customWidth="1"/>
    <col min="4" max="4" width="40.25" customWidth="1"/>
    <col min="5" max="6" width="9.875" customWidth="1"/>
    <col min="7" max="8" width="10.625" customWidth="1"/>
    <col min="9" max="9" width="12.5" customWidth="1"/>
    <col min="10" max="10" width="12.125" customWidth="1"/>
    <col min="11" max="11" width="13.375" customWidth="1"/>
  </cols>
  <sheetData>
    <row r="1" ht="48" customHeight="1" spans="1:12">
      <c r="A1" s="5" t="s">
        <v>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ht="16.5" spans="1:12">
      <c r="A2" s="52" t="s">
        <v>3</v>
      </c>
      <c r="B2" s="53" t="s">
        <v>4</v>
      </c>
      <c r="C2" s="53" t="s">
        <v>5</v>
      </c>
      <c r="D2" s="53" t="s">
        <v>6</v>
      </c>
      <c r="E2" s="54" t="s">
        <v>7</v>
      </c>
      <c r="F2" s="54" t="s">
        <v>8</v>
      </c>
      <c r="G2" s="53" t="s">
        <v>9</v>
      </c>
      <c r="H2" s="53" t="s">
        <v>10</v>
      </c>
      <c r="I2" s="53" t="s">
        <v>11</v>
      </c>
      <c r="J2" s="53" t="s">
        <v>12</v>
      </c>
      <c r="K2" s="61" t="s">
        <v>13</v>
      </c>
      <c r="L2" s="62" t="s">
        <v>14</v>
      </c>
    </row>
    <row r="3" ht="24" customHeight="1" spans="1:12">
      <c r="A3" s="10">
        <v>1</v>
      </c>
      <c r="B3" s="11" t="s">
        <v>15</v>
      </c>
      <c r="C3" s="12" t="s">
        <v>16</v>
      </c>
      <c r="D3" s="12" t="s">
        <v>17</v>
      </c>
      <c r="E3" s="13">
        <v>43862</v>
      </c>
      <c r="F3" s="13">
        <v>43881</v>
      </c>
      <c r="G3" s="12" t="s">
        <v>18</v>
      </c>
      <c r="H3" s="12" t="s">
        <v>19</v>
      </c>
      <c r="I3" s="12"/>
      <c r="J3" s="12"/>
      <c r="K3" s="63" t="s">
        <v>20</v>
      </c>
      <c r="L3" s="26"/>
    </row>
    <row r="4" ht="24" customHeight="1" spans="1:12">
      <c r="A4" s="10">
        <v>2</v>
      </c>
      <c r="B4" s="14"/>
      <c r="C4" s="12" t="s">
        <v>21</v>
      </c>
      <c r="D4" s="12" t="s">
        <v>22</v>
      </c>
      <c r="E4" s="13">
        <v>43862</v>
      </c>
      <c r="F4" s="13">
        <v>43881</v>
      </c>
      <c r="G4" s="12" t="s">
        <v>18</v>
      </c>
      <c r="H4" s="12" t="s">
        <v>19</v>
      </c>
      <c r="I4" s="12"/>
      <c r="J4" s="12"/>
      <c r="K4" s="63" t="s">
        <v>20</v>
      </c>
      <c r="L4" s="26"/>
    </row>
    <row r="5" ht="33" customHeight="1" spans="1:12">
      <c r="A5" s="10">
        <v>3</v>
      </c>
      <c r="B5" s="14"/>
      <c r="C5" s="12" t="s">
        <v>23</v>
      </c>
      <c r="D5" s="16" t="s">
        <v>24</v>
      </c>
      <c r="E5" s="13">
        <v>43862</v>
      </c>
      <c r="F5" s="13">
        <v>43881</v>
      </c>
      <c r="G5" s="12" t="s">
        <v>18</v>
      </c>
      <c r="H5" s="12" t="s">
        <v>19</v>
      </c>
      <c r="I5" s="12"/>
      <c r="J5" s="12"/>
      <c r="K5" s="63" t="s">
        <v>20</v>
      </c>
      <c r="L5" s="26"/>
    </row>
    <row r="6" ht="33" customHeight="1" spans="1:12">
      <c r="A6" s="10">
        <v>4</v>
      </c>
      <c r="B6" s="15"/>
      <c r="C6" s="12" t="s">
        <v>25</v>
      </c>
      <c r="D6" s="16" t="s">
        <v>26</v>
      </c>
      <c r="E6" s="13">
        <v>43862</v>
      </c>
      <c r="F6" s="13">
        <v>43881</v>
      </c>
      <c r="G6" s="12" t="s">
        <v>18</v>
      </c>
      <c r="H6" s="12" t="s">
        <v>19</v>
      </c>
      <c r="I6" s="12"/>
      <c r="J6" s="12"/>
      <c r="K6" s="63" t="s">
        <v>27</v>
      </c>
      <c r="L6" s="26"/>
    </row>
    <row r="7" ht="24" customHeight="1" spans="1:12">
      <c r="A7" s="10">
        <v>5</v>
      </c>
      <c r="B7" s="12" t="s">
        <v>28</v>
      </c>
      <c r="C7" s="12"/>
      <c r="D7" s="12"/>
      <c r="E7" s="12"/>
      <c r="F7" s="12"/>
      <c r="G7" s="12"/>
      <c r="H7" s="12"/>
      <c r="I7" s="12"/>
      <c r="J7" s="12"/>
      <c r="K7" s="63"/>
      <c r="L7" s="26"/>
    </row>
    <row r="8" ht="24" customHeight="1" spans="1:12">
      <c r="A8" s="10">
        <v>6</v>
      </c>
      <c r="B8" s="12" t="s">
        <v>29</v>
      </c>
      <c r="C8" s="12"/>
      <c r="D8" s="12"/>
      <c r="E8" s="12"/>
      <c r="F8" s="12"/>
      <c r="G8" s="12"/>
      <c r="H8" s="12"/>
      <c r="I8" s="12"/>
      <c r="J8" s="12"/>
      <c r="K8" s="63"/>
      <c r="L8" s="26"/>
    </row>
    <row r="9" ht="24" customHeight="1" spans="1:12">
      <c r="A9" s="10">
        <v>7</v>
      </c>
      <c r="B9" s="12" t="s">
        <v>30</v>
      </c>
      <c r="C9" s="12"/>
      <c r="D9" s="12"/>
      <c r="E9" s="12"/>
      <c r="F9" s="12"/>
      <c r="G9" s="12"/>
      <c r="H9" s="12"/>
      <c r="I9" s="12"/>
      <c r="J9" s="12"/>
      <c r="K9" s="63"/>
      <c r="L9" s="26"/>
    </row>
    <row r="10" ht="24" customHeight="1" spans="1:16379">
      <c r="A10" s="10">
        <v>8</v>
      </c>
      <c r="B10" s="12" t="s">
        <v>31</v>
      </c>
      <c r="C10" s="12"/>
      <c r="D10" s="12"/>
      <c r="E10" s="12"/>
      <c r="F10" s="12"/>
      <c r="G10" s="12"/>
      <c r="H10" s="12"/>
      <c r="I10" s="12"/>
      <c r="J10" s="12"/>
      <c r="K10" s="63"/>
      <c r="L10" s="26"/>
      <c r="XEY10" s="42" t="s">
        <v>1</v>
      </c>
    </row>
    <row r="11" ht="24" customHeight="1" spans="1:12">
      <c r="A11" s="10">
        <v>9</v>
      </c>
      <c r="B11" s="12" t="s">
        <v>32</v>
      </c>
      <c r="C11" s="12"/>
      <c r="D11" s="12"/>
      <c r="E11" s="12"/>
      <c r="F11" s="12"/>
      <c r="G11" s="12"/>
      <c r="H11" s="12"/>
      <c r="I11" s="12"/>
      <c r="J11" s="12"/>
      <c r="K11" s="63"/>
      <c r="L11" s="26"/>
    </row>
    <row r="12" ht="24" customHeight="1" spans="1:12">
      <c r="A12" s="10">
        <v>10</v>
      </c>
      <c r="B12" s="12" t="s">
        <v>33</v>
      </c>
      <c r="C12" s="12"/>
      <c r="D12" s="12"/>
      <c r="E12" s="12"/>
      <c r="F12" s="12"/>
      <c r="G12" s="12"/>
      <c r="H12" s="12"/>
      <c r="I12" s="12"/>
      <c r="J12" s="12"/>
      <c r="K12" s="63"/>
      <c r="L12" s="26"/>
    </row>
    <row r="13" ht="24" customHeight="1" spans="1:12">
      <c r="A13" s="10"/>
      <c r="B13" s="12"/>
      <c r="C13" s="12"/>
      <c r="D13" s="12"/>
      <c r="E13" s="12"/>
      <c r="F13" s="12"/>
      <c r="G13" s="12"/>
      <c r="H13" s="12"/>
      <c r="I13" s="12"/>
      <c r="J13" s="12"/>
      <c r="K13" s="63"/>
      <c r="L13" s="26"/>
    </row>
    <row r="14" ht="24" customHeight="1" spans="1:12">
      <c r="A14" s="10"/>
      <c r="B14" s="12"/>
      <c r="C14" s="12"/>
      <c r="D14" s="12"/>
      <c r="E14" s="12"/>
      <c r="F14" s="12"/>
      <c r="G14" s="12"/>
      <c r="H14" s="12"/>
      <c r="I14" s="12"/>
      <c r="J14" s="12"/>
      <c r="K14" s="63"/>
      <c r="L14" s="26"/>
    </row>
    <row r="15" ht="24" customHeight="1" spans="1:12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64"/>
      <c r="L15" s="65"/>
    </row>
    <row r="16" ht="24" customHeight="1" spans="1:12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64"/>
      <c r="L16" s="65"/>
    </row>
    <row r="17" ht="24" customHeight="1" spans="1:12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64"/>
      <c r="L17" s="65"/>
    </row>
    <row r="18" ht="24" customHeight="1" spans="1:12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64"/>
      <c r="L18" s="65"/>
    </row>
    <row r="19" ht="24" customHeight="1" spans="1:12">
      <c r="A19" s="55"/>
      <c r="B19" s="56"/>
      <c r="C19" s="56"/>
      <c r="D19" s="56"/>
      <c r="E19" s="56"/>
      <c r="F19" s="56"/>
      <c r="G19" s="56"/>
      <c r="H19" s="56"/>
      <c r="I19" s="56"/>
      <c r="J19" s="56"/>
      <c r="K19" s="64"/>
      <c r="L19" s="65"/>
    </row>
    <row r="20" ht="24" customHeight="1" spans="1:1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66"/>
      <c r="L20" s="67"/>
    </row>
    <row r="21" ht="24" customHeight="1" spans="1:1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66"/>
      <c r="L21" s="67"/>
    </row>
    <row r="22" ht="24" customHeight="1" spans="1:1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66"/>
      <c r="L22" s="67"/>
    </row>
    <row r="23" ht="24" customHeight="1" spans="1:1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66"/>
      <c r="L23" s="67"/>
    </row>
    <row r="24" ht="24" customHeight="1" spans="1:1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66"/>
      <c r="L24" s="67"/>
    </row>
    <row r="25" ht="24" customHeight="1" spans="1:1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66"/>
      <c r="L25" s="67"/>
    </row>
    <row r="26" ht="19.5" customHeight="1" spans="1:1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66"/>
      <c r="L26" s="67"/>
    </row>
    <row r="27" ht="19.5" customHeight="1" spans="1:1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66"/>
      <c r="L27" s="67"/>
    </row>
    <row r="28" ht="19.5" customHeight="1" spans="1:1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66"/>
      <c r="L28" s="67"/>
    </row>
    <row r="29" ht="19.5" customHeight="1" spans="1:1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66"/>
      <c r="L29" s="67"/>
    </row>
    <row r="30" ht="19.5" customHeight="1" spans="1:1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66"/>
      <c r="L30" s="67"/>
    </row>
    <row r="31" ht="19.5" customHeight="1" spans="1:1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66"/>
      <c r="L31" s="67"/>
    </row>
    <row r="32" ht="19.5" customHeight="1" spans="1:12">
      <c r="A32" s="57"/>
      <c r="B32" s="58"/>
      <c r="C32" s="58"/>
      <c r="D32" s="58"/>
      <c r="E32" s="58"/>
      <c r="F32" s="58"/>
      <c r="G32" s="58"/>
      <c r="H32" s="58"/>
      <c r="I32" s="58"/>
      <c r="J32" s="58"/>
      <c r="K32" s="66"/>
      <c r="L32" s="67"/>
    </row>
    <row r="33" ht="19.5" customHeight="1" spans="1:12">
      <c r="A33" s="59"/>
      <c r="B33" s="60"/>
      <c r="C33" s="60"/>
      <c r="D33" s="60"/>
      <c r="E33" s="60"/>
      <c r="F33" s="60"/>
      <c r="G33" s="60"/>
      <c r="H33" s="60"/>
      <c r="I33" s="60"/>
      <c r="J33" s="60"/>
      <c r="K33" s="68"/>
      <c r="L33" s="69"/>
    </row>
  </sheetData>
  <mergeCells count="2">
    <mergeCell ref="A1:L1"/>
    <mergeCell ref="B3:B6"/>
  </mergeCells>
  <conditionalFormatting sqref="I2">
    <cfRule type="cellIs" dxfId="0" priority="1" operator="equal">
      <formula>"暂停"</formula>
    </cfRule>
    <cfRule type="cellIs" dxfId="1" priority="2" operator="equal">
      <formula>"滞后"</formula>
    </cfRule>
    <cfRule type="cellIs" dxfId="0" priority="3" operator="equal">
      <formula>"新增"</formula>
    </cfRule>
    <cfRule type="cellIs" dxfId="0" priority="4" operator="equal">
      <formula>"变更"</formula>
    </cfRule>
    <cfRule type="cellIs" dxfId="2" priority="5" operator="equal">
      <formula>"正常开展"</formula>
    </cfRule>
  </conditionalFormatting>
  <pageMargins left="0.699305555555556" right="0.699305555555556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XEZ33"/>
  <sheetViews>
    <sheetView showGridLines="0" workbookViewId="0">
      <selection activeCell="A1" sqref="A1:K1"/>
    </sheetView>
  </sheetViews>
  <sheetFormatPr defaultColWidth="9" defaultRowHeight="13.5"/>
  <cols>
    <col min="1" max="1" width="6.375" customWidth="1"/>
    <col min="2" max="2" width="14.125" customWidth="1"/>
    <col min="3" max="3" width="20.75" customWidth="1"/>
    <col min="4" max="4" width="56.5" customWidth="1"/>
    <col min="5" max="6" width="9.875" customWidth="1"/>
    <col min="7" max="7" width="11.625" customWidth="1"/>
    <col min="8" max="8" width="12.25" customWidth="1"/>
    <col min="9" max="9" width="10.375" customWidth="1"/>
    <col min="10" max="10" width="10.75" customWidth="1"/>
  </cols>
  <sheetData>
    <row r="1" ht="51.75" customHeight="1" spans="1:11">
      <c r="A1" s="5" t="s">
        <v>34</v>
      </c>
      <c r="B1" s="6"/>
      <c r="C1" s="6"/>
      <c r="D1" s="6"/>
      <c r="E1" s="6"/>
      <c r="F1" s="6"/>
      <c r="G1" s="6"/>
      <c r="H1" s="6"/>
      <c r="I1" s="6"/>
      <c r="J1" s="6"/>
      <c r="K1" s="6"/>
    </row>
    <row r="2" ht="21" customHeight="1" spans="1:11">
      <c r="A2" s="7" t="s">
        <v>3</v>
      </c>
      <c r="B2" s="8" t="s">
        <v>4</v>
      </c>
      <c r="C2" s="8" t="s">
        <v>5</v>
      </c>
      <c r="D2" s="8" t="s">
        <v>6</v>
      </c>
      <c r="E2" s="9" t="s">
        <v>35</v>
      </c>
      <c r="F2" s="9" t="s">
        <v>36</v>
      </c>
      <c r="G2" s="9" t="s">
        <v>37</v>
      </c>
      <c r="H2" s="9" t="s">
        <v>38</v>
      </c>
      <c r="I2" s="8" t="s">
        <v>9</v>
      </c>
      <c r="J2" s="8" t="s">
        <v>10</v>
      </c>
      <c r="K2" s="22" t="s">
        <v>14</v>
      </c>
    </row>
    <row r="3" ht="32.25" customHeight="1" spans="1:11">
      <c r="A3" s="10">
        <v>1</v>
      </c>
      <c r="B3" s="11" t="s">
        <v>15</v>
      </c>
      <c r="C3" s="12" t="s">
        <v>16</v>
      </c>
      <c r="D3" s="12" t="s">
        <v>17</v>
      </c>
      <c r="E3" s="13">
        <v>43862</v>
      </c>
      <c r="F3" s="13">
        <v>43881</v>
      </c>
      <c r="G3" s="12" t="s">
        <v>39</v>
      </c>
      <c r="H3" s="12"/>
      <c r="I3" s="12" t="s">
        <v>18</v>
      </c>
      <c r="J3" s="12" t="s">
        <v>19</v>
      </c>
      <c r="K3" s="26"/>
    </row>
    <row r="4" ht="32.25" customHeight="1" spans="1:11">
      <c r="A4" s="10">
        <v>2</v>
      </c>
      <c r="B4" s="14"/>
      <c r="C4" s="12" t="s">
        <v>21</v>
      </c>
      <c r="D4" s="12" t="s">
        <v>22</v>
      </c>
      <c r="E4" s="13">
        <v>43862</v>
      </c>
      <c r="F4" s="13">
        <v>43881</v>
      </c>
      <c r="G4" s="12" t="s">
        <v>40</v>
      </c>
      <c r="H4" s="12"/>
      <c r="I4" s="12" t="s">
        <v>18</v>
      </c>
      <c r="J4" s="12" t="s">
        <v>19</v>
      </c>
      <c r="K4" s="26"/>
    </row>
    <row r="5" ht="32.25" customHeight="1" spans="1:11">
      <c r="A5" s="10">
        <v>3</v>
      </c>
      <c r="B5" s="14"/>
      <c r="C5" s="12" t="s">
        <v>23</v>
      </c>
      <c r="D5" s="12" t="s">
        <v>24</v>
      </c>
      <c r="E5" s="13">
        <v>43862</v>
      </c>
      <c r="F5" s="13">
        <v>43881</v>
      </c>
      <c r="G5" s="12" t="s">
        <v>41</v>
      </c>
      <c r="H5" s="12"/>
      <c r="I5" s="12" t="s">
        <v>18</v>
      </c>
      <c r="J5" s="12" t="s">
        <v>19</v>
      </c>
      <c r="K5" s="26"/>
    </row>
    <row r="6" ht="32.25" customHeight="1" spans="1:11">
      <c r="A6" s="10">
        <v>4</v>
      </c>
      <c r="B6" s="15"/>
      <c r="C6" s="12" t="s">
        <v>25</v>
      </c>
      <c r="D6" s="16" t="s">
        <v>26</v>
      </c>
      <c r="E6" s="13">
        <v>43862</v>
      </c>
      <c r="F6" s="13">
        <v>43881</v>
      </c>
      <c r="G6" s="12" t="s">
        <v>42</v>
      </c>
      <c r="H6" s="12"/>
      <c r="I6" s="12" t="s">
        <v>18</v>
      </c>
      <c r="J6" s="12" t="s">
        <v>19</v>
      </c>
      <c r="K6" s="26"/>
    </row>
    <row r="7" ht="32.25" customHeight="1" spans="1:11">
      <c r="A7" s="10">
        <v>5</v>
      </c>
      <c r="B7" s="12" t="s">
        <v>28</v>
      </c>
      <c r="C7" s="12"/>
      <c r="D7" s="12"/>
      <c r="E7" s="12"/>
      <c r="F7" s="12"/>
      <c r="G7" s="12"/>
      <c r="H7" s="12"/>
      <c r="I7" s="12"/>
      <c r="J7" s="12"/>
      <c r="K7" s="26"/>
    </row>
    <row r="8" ht="32.25" customHeight="1" spans="1:16380">
      <c r="A8" s="10">
        <v>6</v>
      </c>
      <c r="B8" s="12" t="s">
        <v>29</v>
      </c>
      <c r="C8" s="12"/>
      <c r="D8" s="12"/>
      <c r="E8" s="12"/>
      <c r="F8" s="12"/>
      <c r="G8" s="12"/>
      <c r="H8" s="12"/>
      <c r="I8" s="12"/>
      <c r="J8" s="12"/>
      <c r="K8" s="26"/>
      <c r="XEZ8" s="42" t="s">
        <v>1</v>
      </c>
    </row>
    <row r="9" ht="32.25" customHeight="1" spans="1:11">
      <c r="A9" s="43">
        <v>7</v>
      </c>
      <c r="B9" s="12" t="s">
        <v>30</v>
      </c>
      <c r="C9" s="44"/>
      <c r="D9" s="44"/>
      <c r="E9" s="44"/>
      <c r="F9" s="44"/>
      <c r="G9" s="44"/>
      <c r="H9" s="44"/>
      <c r="I9" s="44"/>
      <c r="J9" s="44"/>
      <c r="K9" s="49"/>
    </row>
    <row r="10" ht="32.25" customHeight="1" spans="1:11">
      <c r="A10" s="43">
        <v>8</v>
      </c>
      <c r="B10" s="12" t="s">
        <v>31</v>
      </c>
      <c r="C10" s="44"/>
      <c r="D10" s="44"/>
      <c r="E10" s="44"/>
      <c r="F10" s="44"/>
      <c r="G10" s="44"/>
      <c r="H10" s="44"/>
      <c r="I10" s="44"/>
      <c r="J10" s="44"/>
      <c r="K10" s="49"/>
    </row>
    <row r="11" ht="32.25" customHeight="1" spans="1:11">
      <c r="A11" s="43">
        <v>9</v>
      </c>
      <c r="B11" s="12" t="s">
        <v>32</v>
      </c>
      <c r="C11" s="44"/>
      <c r="D11" s="44"/>
      <c r="E11" s="44"/>
      <c r="F11" s="44"/>
      <c r="G11" s="44"/>
      <c r="H11" s="44"/>
      <c r="I11" s="44"/>
      <c r="J11" s="44"/>
      <c r="K11" s="49"/>
    </row>
    <row r="12" ht="32.25" customHeight="1" spans="1:11">
      <c r="A12" s="43">
        <v>10</v>
      </c>
      <c r="B12" s="12" t="s">
        <v>33</v>
      </c>
      <c r="C12" s="44"/>
      <c r="D12" s="44"/>
      <c r="E12" s="44"/>
      <c r="F12" s="44"/>
      <c r="G12" s="44"/>
      <c r="H12" s="44"/>
      <c r="I12" s="44"/>
      <c r="J12" s="44"/>
      <c r="K12" s="49"/>
    </row>
    <row r="13" ht="32.25" customHeight="1" spans="1:11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9"/>
    </row>
    <row r="14" ht="32.25" customHeight="1" spans="1:11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36"/>
    </row>
    <row r="15" ht="32.25" customHeight="1" spans="1:11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36"/>
    </row>
    <row r="16" ht="32.25" customHeight="1" spans="1:11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36"/>
    </row>
    <row r="17" ht="32.25" customHeight="1" spans="1:11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36"/>
    </row>
    <row r="18" ht="32.25" customHeight="1" spans="1:11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36"/>
    </row>
    <row r="19" ht="32.25" customHeight="1" spans="1:11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36"/>
    </row>
    <row r="20" ht="32.25" customHeight="1" spans="1:11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36"/>
    </row>
    <row r="21" ht="32.25" customHeight="1" spans="1:11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50"/>
    </row>
    <row r="22" ht="32.25" customHeight="1" spans="1:11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50"/>
    </row>
    <row r="23" ht="19.5" customHeight="1" spans="1:1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50"/>
    </row>
    <row r="24" ht="19.5" customHeight="1" spans="1:1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50"/>
    </row>
    <row r="25" ht="19.5" customHeight="1" spans="1:1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50"/>
    </row>
    <row r="26" ht="19.5" customHeight="1" spans="1:11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50"/>
    </row>
    <row r="27" ht="19.5" customHeight="1" spans="1:11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50"/>
    </row>
    <row r="28" ht="19.5" customHeight="1" spans="1:11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50"/>
    </row>
    <row r="29" ht="19.5" customHeight="1" spans="1:11">
      <c r="A29" s="45"/>
      <c r="B29" s="46"/>
      <c r="C29" s="46"/>
      <c r="D29" s="46"/>
      <c r="E29" s="46"/>
      <c r="F29" s="46"/>
      <c r="G29" s="46"/>
      <c r="H29" s="46"/>
      <c r="I29" s="46"/>
      <c r="J29" s="46"/>
      <c r="K29" s="50"/>
    </row>
    <row r="30" ht="19.5" customHeight="1" spans="1:11">
      <c r="A30" s="45"/>
      <c r="B30" s="46"/>
      <c r="C30" s="46"/>
      <c r="D30" s="46"/>
      <c r="E30" s="46"/>
      <c r="F30" s="46"/>
      <c r="G30" s="46"/>
      <c r="H30" s="46"/>
      <c r="I30" s="46"/>
      <c r="J30" s="46"/>
      <c r="K30" s="50"/>
    </row>
    <row r="31" ht="19.5" customHeight="1" spans="1:11">
      <c r="A31" s="45"/>
      <c r="B31" s="46"/>
      <c r="C31" s="46"/>
      <c r="D31" s="46"/>
      <c r="E31" s="46"/>
      <c r="F31" s="46"/>
      <c r="G31" s="46"/>
      <c r="H31" s="46"/>
      <c r="I31" s="46"/>
      <c r="J31" s="46"/>
      <c r="K31" s="50"/>
    </row>
    <row r="32" ht="19.5" customHeight="1" spans="1:11">
      <c r="A32" s="45"/>
      <c r="B32" s="46"/>
      <c r="C32" s="46"/>
      <c r="D32" s="46"/>
      <c r="E32" s="46"/>
      <c r="F32" s="46"/>
      <c r="G32" s="46"/>
      <c r="H32" s="46"/>
      <c r="I32" s="46"/>
      <c r="J32" s="46"/>
      <c r="K32" s="50"/>
    </row>
    <row r="33" ht="19.5" customHeight="1" spans="1:11">
      <c r="A33" s="47"/>
      <c r="B33" s="48"/>
      <c r="C33" s="48"/>
      <c r="D33" s="48"/>
      <c r="E33" s="48"/>
      <c r="F33" s="48"/>
      <c r="G33" s="48"/>
      <c r="H33" s="48"/>
      <c r="I33" s="48"/>
      <c r="J33" s="48"/>
      <c r="K33" s="51"/>
    </row>
  </sheetData>
  <mergeCells count="2">
    <mergeCell ref="A1:K1"/>
    <mergeCell ref="B3:B6"/>
  </mergeCells>
  <conditionalFormatting sqref="G$1:G$1048576">
    <cfRule type="cellIs" dxfId="1" priority="1" operator="equal">
      <formula>"未完成"</formula>
    </cfRule>
  </conditionalFormatting>
  <dataValidations count="1">
    <dataValidation type="list" allowBlank="1" showInputMessage="1" showErrorMessage="1" sqref="G3:G27">
      <formula1>"已完成,未完成,已变更,已停止"</formula1>
    </dataValidation>
  </dataValidations>
  <pageMargins left="0.699305555555556" right="0.699305555555556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EZ29"/>
  <sheetViews>
    <sheetView showGridLines="0" workbookViewId="0">
      <selection activeCell="H12" sqref="H12"/>
    </sheetView>
  </sheetViews>
  <sheetFormatPr defaultColWidth="9" defaultRowHeight="13.5"/>
  <cols>
    <col min="1" max="1" width="4.75" customWidth="1"/>
    <col min="2" max="2" width="9.375" customWidth="1"/>
    <col min="3" max="3" width="17.5" customWidth="1"/>
    <col min="4" max="4" width="50.75" customWidth="1"/>
    <col min="5" max="6" width="10.875" customWidth="1"/>
    <col min="7" max="7" width="11" customWidth="1"/>
    <col min="8" max="8" width="10.125" customWidth="1"/>
    <col min="9" max="9" width="11" customWidth="1"/>
    <col min="10" max="10" width="9.125" customWidth="1"/>
    <col min="12" max="12" width="1.875" customWidth="1"/>
    <col min="13" max="13" width="11.375" customWidth="1"/>
    <col min="14" max="14" width="9.625" customWidth="1"/>
    <col min="15" max="15" width="1.875" customWidth="1"/>
    <col min="17" max="17" width="11.625" customWidth="1"/>
    <col min="18" max="18" width="9.25" customWidth="1"/>
  </cols>
  <sheetData>
    <row r="1" ht="52.5" customHeight="1" spans="1:18">
      <c r="A1" s="5" t="s">
        <v>43</v>
      </c>
      <c r="B1" s="6"/>
      <c r="C1" s="6"/>
      <c r="D1" s="6"/>
      <c r="E1" s="6"/>
      <c r="F1" s="6"/>
      <c r="G1" s="6"/>
      <c r="H1" s="6"/>
      <c r="I1" s="6"/>
      <c r="J1" s="6"/>
      <c r="K1" s="6"/>
      <c r="M1" s="21" t="s">
        <v>44</v>
      </c>
      <c r="N1" s="21"/>
      <c r="P1" s="21" t="s">
        <v>45</v>
      </c>
      <c r="Q1" s="21"/>
      <c r="R1" s="21"/>
    </row>
    <row r="2" ht="21.75" customHeight="1" spans="1:18">
      <c r="A2" s="7" t="s">
        <v>3</v>
      </c>
      <c r="B2" s="8" t="s">
        <v>4</v>
      </c>
      <c r="C2" s="8" t="s">
        <v>5</v>
      </c>
      <c r="D2" s="8" t="s">
        <v>6</v>
      </c>
      <c r="E2" s="9" t="s">
        <v>35</v>
      </c>
      <c r="F2" s="9" t="s">
        <v>36</v>
      </c>
      <c r="G2" s="9" t="s">
        <v>37</v>
      </c>
      <c r="H2" s="9" t="s">
        <v>38</v>
      </c>
      <c r="I2" s="8" t="s">
        <v>9</v>
      </c>
      <c r="J2" s="8" t="s">
        <v>10</v>
      </c>
      <c r="K2" s="22" t="s">
        <v>14</v>
      </c>
      <c r="M2" s="23" t="s">
        <v>46</v>
      </c>
      <c r="N2" s="24" t="s">
        <v>47</v>
      </c>
      <c r="P2" s="25" t="s">
        <v>48</v>
      </c>
      <c r="Q2" s="39" t="s">
        <v>46</v>
      </c>
      <c r="R2" s="40" t="s">
        <v>47</v>
      </c>
    </row>
    <row r="3" ht="24.75" customHeight="1" spans="1:18">
      <c r="A3" s="10">
        <v>1</v>
      </c>
      <c r="B3" s="11" t="s">
        <v>15</v>
      </c>
      <c r="C3" s="12" t="s">
        <v>16</v>
      </c>
      <c r="D3" s="12" t="s">
        <v>17</v>
      </c>
      <c r="E3" s="13">
        <v>43862</v>
      </c>
      <c r="F3" s="13">
        <v>43881</v>
      </c>
      <c r="G3" s="12" t="s">
        <v>39</v>
      </c>
      <c r="H3" s="12"/>
      <c r="I3" s="12" t="s">
        <v>18</v>
      </c>
      <c r="J3" s="12" t="s">
        <v>19</v>
      </c>
      <c r="K3" s="26"/>
      <c r="L3" s="27"/>
      <c r="M3" s="28" t="s">
        <v>49</v>
      </c>
      <c r="N3" s="29">
        <f>N4+N5+N6+N7</f>
        <v>4</v>
      </c>
      <c r="O3" s="27"/>
      <c r="P3" s="30" t="s">
        <v>18</v>
      </c>
      <c r="Q3" s="12" t="s">
        <v>50</v>
      </c>
      <c r="R3" s="36"/>
    </row>
    <row r="4" ht="24.75" customHeight="1" spans="1:18">
      <c r="A4" s="10">
        <v>2</v>
      </c>
      <c r="B4" s="14"/>
      <c r="C4" s="12" t="s">
        <v>21</v>
      </c>
      <c r="D4" s="12" t="s">
        <v>22</v>
      </c>
      <c r="E4" s="13">
        <v>43862</v>
      </c>
      <c r="F4" s="13">
        <v>43881</v>
      </c>
      <c r="G4" s="12" t="s">
        <v>40</v>
      </c>
      <c r="H4" s="12"/>
      <c r="I4" s="12" t="s">
        <v>18</v>
      </c>
      <c r="J4" s="12" t="s">
        <v>19</v>
      </c>
      <c r="K4" s="26"/>
      <c r="L4" s="27"/>
      <c r="M4" s="28" t="s">
        <v>39</v>
      </c>
      <c r="N4" s="29">
        <f>COUNTIF(G:G,M4)</f>
        <v>1</v>
      </c>
      <c r="O4" s="27"/>
      <c r="P4" s="31"/>
      <c r="Q4" s="12" t="s">
        <v>51</v>
      </c>
      <c r="R4" s="36"/>
    </row>
    <row r="5" ht="24.75" customHeight="1" spans="1:18">
      <c r="A5" s="10">
        <v>3</v>
      </c>
      <c r="B5" s="14"/>
      <c r="C5" s="12" t="s">
        <v>23</v>
      </c>
      <c r="D5" s="12" t="s">
        <v>24</v>
      </c>
      <c r="E5" s="13">
        <v>43862</v>
      </c>
      <c r="F5" s="13">
        <v>43881</v>
      </c>
      <c r="G5" s="12" t="s">
        <v>41</v>
      </c>
      <c r="H5" s="12"/>
      <c r="I5" s="12" t="s">
        <v>18</v>
      </c>
      <c r="J5" s="12" t="s">
        <v>19</v>
      </c>
      <c r="K5" s="26"/>
      <c r="L5" s="27"/>
      <c r="M5" s="28" t="s">
        <v>42</v>
      </c>
      <c r="N5" s="29">
        <f t="shared" ref="N5:N7" si="0">COUNTIF(G:G,M5)</f>
        <v>1</v>
      </c>
      <c r="O5" s="27"/>
      <c r="P5" s="31"/>
      <c r="Q5" s="12" t="s">
        <v>52</v>
      </c>
      <c r="R5" s="36"/>
    </row>
    <row r="6" ht="33.75" customHeight="1" spans="1:18">
      <c r="A6" s="10">
        <v>4</v>
      </c>
      <c r="B6" s="15"/>
      <c r="C6" s="12" t="s">
        <v>25</v>
      </c>
      <c r="D6" s="16" t="s">
        <v>26</v>
      </c>
      <c r="E6" s="13">
        <v>43862</v>
      </c>
      <c r="F6" s="13">
        <v>43881</v>
      </c>
      <c r="G6" s="12" t="s">
        <v>42</v>
      </c>
      <c r="H6" s="12"/>
      <c r="I6" s="12" t="s">
        <v>18</v>
      </c>
      <c r="J6" s="12" t="s">
        <v>19</v>
      </c>
      <c r="K6" s="26"/>
      <c r="L6" s="27"/>
      <c r="M6" s="28" t="s">
        <v>41</v>
      </c>
      <c r="N6" s="29">
        <f t="shared" si="0"/>
        <v>1</v>
      </c>
      <c r="O6" s="27"/>
      <c r="P6" s="32"/>
      <c r="Q6" s="12" t="s">
        <v>40</v>
      </c>
      <c r="R6" s="36"/>
    </row>
    <row r="7" ht="24.75" customHeight="1" spans="1:16380">
      <c r="A7" s="10">
        <v>5</v>
      </c>
      <c r="B7" s="12" t="s">
        <v>32</v>
      </c>
      <c r="C7" s="12"/>
      <c r="D7" s="12"/>
      <c r="E7" s="12"/>
      <c r="F7" s="12"/>
      <c r="G7" s="12"/>
      <c r="H7" s="12"/>
      <c r="I7" s="12"/>
      <c r="J7" s="12"/>
      <c r="K7" s="26"/>
      <c r="L7" s="27"/>
      <c r="M7" s="33" t="s">
        <v>40</v>
      </c>
      <c r="N7" s="34">
        <f t="shared" si="0"/>
        <v>1</v>
      </c>
      <c r="O7" s="27"/>
      <c r="P7" s="35"/>
      <c r="Q7" s="12" t="s">
        <v>50</v>
      </c>
      <c r="R7" s="36"/>
      <c r="XEZ7" s="42" t="s">
        <v>1</v>
      </c>
    </row>
    <row r="8" ht="24.75" customHeight="1" spans="1:18">
      <c r="A8" s="10">
        <v>6</v>
      </c>
      <c r="B8" s="12" t="s">
        <v>33</v>
      </c>
      <c r="C8" s="12"/>
      <c r="D8" s="12"/>
      <c r="E8" s="12"/>
      <c r="F8" s="12"/>
      <c r="G8" s="12"/>
      <c r="H8" s="12"/>
      <c r="I8" s="12"/>
      <c r="J8" s="12"/>
      <c r="K8" s="26"/>
      <c r="L8" s="27"/>
      <c r="M8" s="27"/>
      <c r="N8" s="27"/>
      <c r="O8" s="27"/>
      <c r="P8" s="35"/>
      <c r="Q8" s="12" t="s">
        <v>51</v>
      </c>
      <c r="R8" s="36"/>
    </row>
    <row r="9" ht="24.75" customHeight="1" spans="1:18">
      <c r="A9" s="17"/>
      <c r="B9" s="18"/>
      <c r="C9" s="18"/>
      <c r="D9" s="18"/>
      <c r="E9" s="18"/>
      <c r="F9" s="18"/>
      <c r="G9" s="18"/>
      <c r="H9" s="18"/>
      <c r="I9" s="18"/>
      <c r="J9" s="18"/>
      <c r="K9" s="36"/>
      <c r="L9" s="27"/>
      <c r="M9" s="27"/>
      <c r="N9" s="27"/>
      <c r="O9" s="27"/>
      <c r="P9" s="35"/>
      <c r="Q9" s="12" t="s">
        <v>52</v>
      </c>
      <c r="R9" s="36"/>
    </row>
    <row r="10" ht="24.75" customHeight="1" spans="1:18">
      <c r="A10" s="17"/>
      <c r="B10" s="18"/>
      <c r="C10" s="18"/>
      <c r="D10" s="18"/>
      <c r="E10" s="18"/>
      <c r="F10" s="18"/>
      <c r="G10" s="18"/>
      <c r="H10" s="18"/>
      <c r="I10" s="18"/>
      <c r="J10" s="18"/>
      <c r="K10" s="36"/>
      <c r="L10" s="27"/>
      <c r="M10" s="27"/>
      <c r="N10" s="27"/>
      <c r="O10" s="27"/>
      <c r="P10" s="35"/>
      <c r="Q10" s="12" t="s">
        <v>40</v>
      </c>
      <c r="R10" s="36"/>
    </row>
    <row r="11" ht="24.75" customHeight="1" spans="1:18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36"/>
      <c r="L11" s="27"/>
      <c r="M11" s="27"/>
      <c r="N11" s="27"/>
      <c r="O11" s="27"/>
      <c r="P11" s="35"/>
      <c r="Q11" s="12" t="s">
        <v>50</v>
      </c>
      <c r="R11" s="36"/>
    </row>
    <row r="12" ht="24.75" customHeight="1" spans="1:18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36"/>
      <c r="L12" s="27"/>
      <c r="M12" s="27"/>
      <c r="N12" s="27"/>
      <c r="O12" s="27"/>
      <c r="P12" s="35"/>
      <c r="Q12" s="12" t="s">
        <v>51</v>
      </c>
      <c r="R12" s="36"/>
    </row>
    <row r="13" ht="24.75" customHeight="1" spans="1:18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36"/>
      <c r="L13" s="27"/>
      <c r="M13" s="27"/>
      <c r="N13" s="27"/>
      <c r="O13" s="27"/>
      <c r="P13" s="35"/>
      <c r="Q13" s="12" t="s">
        <v>52</v>
      </c>
      <c r="R13" s="36"/>
    </row>
    <row r="14" ht="24.75" customHeight="1" spans="1:18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36"/>
      <c r="L14" s="27"/>
      <c r="M14" s="27"/>
      <c r="N14" s="27"/>
      <c r="O14" s="27"/>
      <c r="P14" s="35"/>
      <c r="Q14" s="12" t="s">
        <v>40</v>
      </c>
      <c r="R14" s="36"/>
    </row>
    <row r="15" ht="24.75" customHeight="1" spans="1:18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36"/>
      <c r="L15" s="27"/>
      <c r="M15" s="27"/>
      <c r="N15" s="27"/>
      <c r="O15" s="27"/>
      <c r="P15" s="35"/>
      <c r="Q15" s="12" t="s">
        <v>50</v>
      </c>
      <c r="R15" s="36"/>
    </row>
    <row r="16" ht="24.75" customHeight="1" spans="1:18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36"/>
      <c r="L16" s="27"/>
      <c r="M16" s="27"/>
      <c r="N16" s="27"/>
      <c r="O16" s="27"/>
      <c r="P16" s="35"/>
      <c r="Q16" s="12" t="s">
        <v>51</v>
      </c>
      <c r="R16" s="36"/>
    </row>
    <row r="17" ht="24.75" customHeight="1" spans="1:18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36"/>
      <c r="L17" s="27"/>
      <c r="M17" s="27"/>
      <c r="N17" s="27"/>
      <c r="O17" s="27"/>
      <c r="P17" s="35"/>
      <c r="Q17" s="12" t="s">
        <v>52</v>
      </c>
      <c r="R17" s="36"/>
    </row>
    <row r="18" ht="24.75" customHeight="1" spans="1:18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36"/>
      <c r="L18" s="27"/>
      <c r="M18" s="27"/>
      <c r="N18" s="27"/>
      <c r="O18" s="27"/>
      <c r="P18" s="35"/>
      <c r="Q18" s="12" t="s">
        <v>40</v>
      </c>
      <c r="R18" s="36"/>
    </row>
    <row r="19" ht="24.75" customHeight="1" spans="1:18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36"/>
      <c r="L19" s="27"/>
      <c r="M19" s="27"/>
      <c r="N19" s="27"/>
      <c r="O19" s="27"/>
      <c r="P19" s="35"/>
      <c r="Q19" s="12" t="s">
        <v>50</v>
      </c>
      <c r="R19" s="36"/>
    </row>
    <row r="20" ht="24.75" customHeight="1" spans="1:18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36"/>
      <c r="L20" s="27"/>
      <c r="M20" s="27"/>
      <c r="N20" s="27"/>
      <c r="O20" s="27"/>
      <c r="P20" s="35"/>
      <c r="Q20" s="12" t="s">
        <v>51</v>
      </c>
      <c r="R20" s="36"/>
    </row>
    <row r="21" ht="24.75" customHeight="1" spans="1:18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36"/>
      <c r="L21" s="27"/>
      <c r="M21" s="27"/>
      <c r="N21" s="27"/>
      <c r="O21" s="27"/>
      <c r="P21" s="35"/>
      <c r="Q21" s="12" t="s">
        <v>52</v>
      </c>
      <c r="R21" s="36"/>
    </row>
    <row r="22" ht="24.75" customHeight="1" spans="1:18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36"/>
      <c r="L22" s="27"/>
      <c r="M22" s="27"/>
      <c r="N22" s="27"/>
      <c r="O22" s="27"/>
      <c r="P22" s="35"/>
      <c r="Q22" s="12" t="s">
        <v>40</v>
      </c>
      <c r="R22" s="36"/>
    </row>
    <row r="23" ht="24.75" customHeight="1" spans="1:18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36"/>
      <c r="L23" s="27"/>
      <c r="M23" s="27"/>
      <c r="N23" s="27"/>
      <c r="O23" s="27"/>
      <c r="P23" s="35"/>
      <c r="Q23" s="12" t="s">
        <v>50</v>
      </c>
      <c r="R23" s="36"/>
    </row>
    <row r="24" ht="24.75" customHeight="1" spans="1:18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36"/>
      <c r="L24" s="27"/>
      <c r="M24" s="27"/>
      <c r="N24" s="27"/>
      <c r="O24" s="27"/>
      <c r="P24" s="35"/>
      <c r="Q24" s="12" t="s">
        <v>51</v>
      </c>
      <c r="R24" s="36"/>
    </row>
    <row r="25" ht="24.75" customHeight="1" spans="1:18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36"/>
      <c r="L25" s="27"/>
      <c r="M25" s="27"/>
      <c r="N25" s="27"/>
      <c r="O25" s="27"/>
      <c r="P25" s="35"/>
      <c r="Q25" s="12" t="s">
        <v>52</v>
      </c>
      <c r="R25" s="36"/>
    </row>
    <row r="26" ht="24.75" customHeight="1" spans="1:18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36"/>
      <c r="L26" s="27"/>
      <c r="M26" s="27"/>
      <c r="N26" s="27"/>
      <c r="O26" s="27"/>
      <c r="P26" s="37"/>
      <c r="Q26" s="41" t="s">
        <v>40</v>
      </c>
      <c r="R26" s="38"/>
    </row>
    <row r="27" ht="24.75" customHeight="1" spans="1:18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36"/>
      <c r="L27" s="27"/>
      <c r="M27" s="27"/>
      <c r="N27" s="27"/>
      <c r="O27" s="27"/>
      <c r="P27" s="27"/>
      <c r="Q27" s="27"/>
      <c r="R27" s="27"/>
    </row>
    <row r="28" ht="24.75" customHeight="1" spans="1:18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36"/>
      <c r="L28" s="27"/>
      <c r="M28" s="27"/>
      <c r="N28" s="27"/>
      <c r="O28" s="27"/>
      <c r="P28" s="27"/>
      <c r="Q28" s="27"/>
      <c r="R28" s="27"/>
    </row>
    <row r="29" ht="24.75" customHeight="1" spans="1:18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38"/>
      <c r="L29" s="27"/>
      <c r="M29" s="27"/>
      <c r="N29" s="27"/>
      <c r="O29" s="27"/>
      <c r="P29" s="27"/>
      <c r="Q29" s="27"/>
      <c r="R29" s="27"/>
    </row>
  </sheetData>
  <mergeCells count="10">
    <mergeCell ref="A1:K1"/>
    <mergeCell ref="M1:N1"/>
    <mergeCell ref="P1:R1"/>
    <mergeCell ref="B3:B6"/>
    <mergeCell ref="P3:P6"/>
    <mergeCell ref="P7:P10"/>
    <mergeCell ref="P11:P14"/>
    <mergeCell ref="P15:P18"/>
    <mergeCell ref="P19:P22"/>
    <mergeCell ref="P23:P26"/>
  </mergeCells>
  <conditionalFormatting sqref="G3:G6">
    <cfRule type="cellIs" dxfId="1" priority="1" operator="equal">
      <formula>"未完成"</formula>
    </cfRule>
  </conditionalFormatting>
  <dataValidations count="1">
    <dataValidation type="list" allowBlank="1" showInputMessage="1" showErrorMessage="1" sqref="G3:G6">
      <formula1>"已完成,未完成,已变更,已停止"</formula1>
    </dataValidation>
  </dataValidations>
  <pageMargins left="0.699305555555556" right="0.699305555555556" top="0.75" bottom="0.75" header="0.3" footer="0.3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2"/>
  <sheetViews>
    <sheetView workbookViewId="0">
      <selection activeCell="F33" sqref="F33"/>
    </sheetView>
  </sheetViews>
  <sheetFormatPr defaultColWidth="9" defaultRowHeight="13.5" outlineLevelRow="1" outlineLevelCol="1"/>
  <cols>
    <col min="1" max="1" width="16" customWidth="1"/>
    <col min="2" max="2" width="20.75" customWidth="1"/>
  </cols>
  <sheetData>
    <row r="1" ht="29.25" customHeight="1" spans="1:2">
      <c r="A1" s="1" t="s">
        <v>53</v>
      </c>
      <c r="B1" s="2"/>
    </row>
    <row r="2" ht="24" customHeight="1" spans="1:2">
      <c r="A2" s="3">
        <v>113145146</v>
      </c>
      <c r="B2" s="4"/>
    </row>
  </sheetData>
  <mergeCells count="1">
    <mergeCell ref="A1:B1"/>
  </mergeCells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1-月度工作计划表</vt:lpstr>
      <vt:lpstr>2-月度工作总结表</vt:lpstr>
      <vt:lpstr>3-年度工作总结表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